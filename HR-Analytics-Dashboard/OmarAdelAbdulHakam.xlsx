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F:\Learn Excel\ProjectOne[DashBoard]\"/>
    </mc:Choice>
  </mc:AlternateContent>
  <xr:revisionPtr revIDLastSave="0" documentId="13_ncr:1_{A047CC2B-EEEB-4CAD-8C19-ED565C8CA9E8}" xr6:coauthVersionLast="47" xr6:coauthVersionMax="47" xr10:uidLastSave="{00000000-0000-0000-0000-000000000000}"/>
  <bookViews>
    <workbookView xWindow="-120" yWindow="-120" windowWidth="20730" windowHeight="11760" xr2:uid="{897E3B80-450B-4B91-B395-785822CB9544}"/>
  </bookViews>
  <sheets>
    <sheet name="DashBoard" sheetId="1" r:id="rId1"/>
    <sheet name="DataBase" sheetId="4" r:id="rId2"/>
    <sheet name="PivotTable" sheetId="3" r:id="rId3"/>
  </sheets>
  <definedNames>
    <definedName name="ExternalData_1" localSheetId="1" hidden="1">DataBase!$A$1:$U$51</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7" i="3" l="1"/>
  <c r="J46" i="3"/>
  <c r="J45" i="3"/>
  <c r="J44" i="3"/>
  <c r="J43" i="3"/>
  <c r="J48" i="3" s="1"/>
  <c r="G48" i="3"/>
  <c r="G47" i="3"/>
  <c r="G46" i="3"/>
  <c r="G45" i="3"/>
  <c r="G44" i="3"/>
  <c r="G49" i="3" s="1"/>
  <c r="H17" i="3"/>
  <c r="H16" i="3"/>
  <c r="H15" i="3"/>
  <c r="H14" i="3"/>
  <c r="H13" i="3"/>
  <c r="H18" i="3" s="1"/>
  <c r="C13" i="3"/>
  <c r="C49" i="3"/>
  <c r="C48" i="3"/>
  <c r="C47" i="3"/>
  <c r="C46" i="3"/>
  <c r="C45" i="3"/>
  <c r="C50" i="3" s="1"/>
  <c r="C29" i="3"/>
  <c r="C28" i="3"/>
  <c r="C27" i="3"/>
  <c r="C30" i="3" s="1"/>
  <c r="D27" i="3" s="1"/>
  <c r="E27" i="3" s="1"/>
  <c r="K22" i="3"/>
  <c r="K21" i="3"/>
  <c r="K23" i="3" s="1"/>
  <c r="K18" i="3"/>
  <c r="K17" i="3"/>
  <c r="K16" i="3"/>
  <c r="K15" i="3"/>
  <c r="K14" i="3"/>
  <c r="G13" i="3"/>
  <c r="G17" i="3"/>
  <c r="G16" i="3"/>
  <c r="G15" i="3"/>
  <c r="G14" i="3"/>
  <c r="C12" i="3"/>
  <c r="C11" i="3"/>
  <c r="D29" i="3" l="1"/>
  <c r="E29" i="3" s="1"/>
  <c r="D28" i="3"/>
  <c r="K19" i="3"/>
  <c r="L21" i="3"/>
  <c r="C14" i="3"/>
  <c r="G18" i="3"/>
  <c r="D30" i="3" l="1"/>
  <c r="E28" i="3"/>
  <c r="L22" i="3"/>
  <c r="M21" i="3"/>
  <c r="M22" i="3" l="1"/>
  <c r="L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BEE2C-F220-4D6A-A640-15407037258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<sst xmlns="http://schemas.openxmlformats.org/spreadsheetml/2006/main" count="826" uniqueCount="180">
  <si>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</si>
  <si>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</si>
  <si>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</si>
  <si>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</si>
  <si>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</si>
  <si>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</si>
  <si>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</si>
  <si>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</si>
  <si>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</si>
  <si>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</si>
  <si>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</si>
  <si>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</si>
  <si>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</si>
  <si>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</si>
  <si>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</si>
  <si>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</si>
  <si>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</si>
  <si>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</si>
  <si>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</si>
  <si>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</si>
  <si>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</si>
  <si>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</si>
  <si>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</si>
  <si>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</si>
  <si>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</si>
  <si>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</si>
  <si>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</si>
  <si>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</si>
  <si>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Full-Time</t>
  </si>
  <si>
    <t>Head Office</t>
  </si>
  <si>
    <t>C</t>
  </si>
  <si>
    <t>Health</t>
  </si>
  <si>
    <t>Leadership Training</t>
  </si>
  <si>
    <t>Design</t>
  </si>
  <si>
    <t>Certified Professional</t>
  </si>
  <si>
    <t>Gary Garcia</t>
  </si>
  <si>
    <t>Male</t>
  </si>
  <si>
    <t>26-35</t>
  </si>
  <si>
    <t>Central</t>
  </si>
  <si>
    <t>Designer</t>
  </si>
  <si>
    <t>HR</t>
  </si>
  <si>
    <t>Ashley Simmons MD</t>
  </si>
  <si>
    <t>Branch Office</t>
  </si>
  <si>
    <t>B</t>
  </si>
  <si>
    <t>None</t>
  </si>
  <si>
    <t>Excel Workshop</t>
  </si>
  <si>
    <t>Jeremy Nguyen</t>
  </si>
  <si>
    <t>West</t>
  </si>
  <si>
    <t>HR Specialist</t>
  </si>
  <si>
    <t>Marketing</t>
  </si>
  <si>
    <t>Cassandra Duncan</t>
  </si>
  <si>
    <t>Remote</t>
  </si>
  <si>
    <t>D</t>
  </si>
  <si>
    <t>Management</t>
  </si>
  <si>
    <t>Advanced Training</t>
  </si>
  <si>
    <t>Kimberly Jones</t>
  </si>
  <si>
    <t>36-45</t>
  </si>
  <si>
    <t>Operations</t>
  </si>
  <si>
    <t>Janet Harris</t>
  </si>
  <si>
    <t>Contract</t>
  </si>
  <si>
    <t>A</t>
  </si>
  <si>
    <t>Health + Dental</t>
  </si>
  <si>
    <t>Python</t>
  </si>
  <si>
    <t>Anthony Gates</t>
  </si>
  <si>
    <t>56 &lt;</t>
  </si>
  <si>
    <t>Mr. Frank Clay</t>
  </si>
  <si>
    <t>Courtney Foster</t>
  </si>
  <si>
    <t>Developer</t>
  </si>
  <si>
    <t>Dorothy Price</t>
  </si>
  <si>
    <t>Communication</t>
  </si>
  <si>
    <t>Catherine Hall</t>
  </si>
  <si>
    <t>Michele Sexton</t>
  </si>
  <si>
    <t>Deanna Ball</t>
  </si>
  <si>
    <t>South</t>
  </si>
  <si>
    <t>IT</t>
  </si>
  <si>
    <t>Richard Schmidt</t>
  </si>
  <si>
    <t>Candace Nelson</t>
  </si>
  <si>
    <t>Teresa Pearson</t>
  </si>
  <si>
    <t>Mandy Davis</t>
  </si>
  <si>
    <t>Laura Hart</t>
  </si>
  <si>
    <t>Matthew Powell</t>
  </si>
  <si>
    <t>Andrea May</t>
  </si>
  <si>
    <t>Bruce Nelson</t>
  </si>
  <si>
    <t>Casey Martin</t>
  </si>
  <si>
    <t>Excel</t>
  </si>
  <si>
    <t>Dawn Cole</t>
  </si>
  <si>
    <t>46-55</t>
  </si>
  <si>
    <t>Amber Allen</t>
  </si>
  <si>
    <t>Tanner Morse</t>
  </si>
  <si>
    <t>North</t>
  </si>
  <si>
    <t>Adam Johnson</t>
  </si>
  <si>
    <t>Jose Griffin</t>
  </si>
  <si>
    <t>Nicole Dominguez</t>
  </si>
  <si>
    <t>Daniel Hawkins</t>
  </si>
  <si>
    <t>Andrew Best</t>
  </si>
  <si>
    <t>Part-Time</t>
  </si>
  <si>
    <t>Elaine Mcclain</t>
  </si>
  <si>
    <t>Gabrielle Rodriguez</t>
  </si>
  <si>
    <t>Allison Harvey</t>
  </si>
  <si>
    <t>Thomas Kramer</t>
  </si>
  <si>
    <t>Tristan Mejia</t>
  </si>
  <si>
    <t>Kevin Whitaker</t>
  </si>
  <si>
    <t>Analyst</t>
  </si>
  <si>
    <t>Mary Welch</t>
  </si>
  <si>
    <t>Dustin Carter</t>
  </si>
  <si>
    <t>Douglas Miles</t>
  </si>
  <si>
    <t>Nicole Williamson</t>
  </si>
  <si>
    <t>Jessica Fleming</t>
  </si>
  <si>
    <t>Matthew Knight</t>
  </si>
  <si>
    <t>Christine Lee</t>
  </si>
  <si>
    <t>Donna Jones</t>
  </si>
  <si>
    <t>Mario Smith DVM</t>
  </si>
  <si>
    <t>Carolyn Bullock</t>
  </si>
  <si>
    <t>Joseph Francis</t>
  </si>
  <si>
    <t>Wendy Gomez</t>
  </si>
  <si>
    <t>Sarah Young</t>
  </si>
  <si>
    <t>Michael Thomas</t>
  </si>
  <si>
    <t>Aaron Hart</t>
  </si>
  <si>
    <t>Kevin Bell</t>
  </si>
  <si>
    <t>Brian Boyd</t>
  </si>
  <si>
    <t>Richard Landry</t>
  </si>
  <si>
    <t>Steven Krueger</t>
  </si>
  <si>
    <t>George Hurley</t>
  </si>
  <si>
    <t>Debra Williams</t>
  </si>
  <si>
    <t>Mark Lopez</t>
  </si>
  <si>
    <t>Karen Mitchell</t>
  </si>
  <si>
    <t>Robert Williams</t>
  </si>
  <si>
    <t>Joseph Sanders</t>
  </si>
  <si>
    <t>Mary Schmidt</t>
  </si>
  <si>
    <t>Shelly George</t>
  </si>
  <si>
    <t>Mary Martinez</t>
  </si>
  <si>
    <t>Nicole Houston</t>
  </si>
  <si>
    <t>Paul Hall</t>
  </si>
  <si>
    <t>Kristin Shaffer</t>
  </si>
  <si>
    <t>Samantha Foster</t>
  </si>
  <si>
    <t>Joel Aguilar</t>
  </si>
  <si>
    <t>Timothy Aguilar</t>
  </si>
  <si>
    <t>Michael Wade</t>
  </si>
  <si>
    <t>Charles Andrews</t>
  </si>
  <si>
    <t>Jessica Walsh</t>
  </si>
  <si>
    <t>Veronica Nelson</t>
  </si>
  <si>
    <t>Kelly Mack</t>
  </si>
  <si>
    <t>Chris Sanchez</t>
  </si>
  <si>
    <t>John Conley</t>
  </si>
  <si>
    <t>Cassie Galvan</t>
  </si>
  <si>
    <t>Aaron Baker</t>
  </si>
  <si>
    <t>Jessica Jones</t>
  </si>
  <si>
    <t>Christopher Bass</t>
  </si>
  <si>
    <t>Emily Walker</t>
  </si>
  <si>
    <t>Sean Tucker PhD</t>
  </si>
  <si>
    <t>Vickie Lewis</t>
  </si>
  <si>
    <t>Jacob Scott</t>
  </si>
  <si>
    <t>Alexis Clark</t>
  </si>
  <si>
    <t>Joel Park</t>
  </si>
  <si>
    <t>Robert Davis</t>
  </si>
  <si>
    <t>Russell Marshall</t>
  </si>
  <si>
    <t>Daniel Brown MD</t>
  </si>
  <si>
    <t>James Holden</t>
  </si>
  <si>
    <t>Anna Payne</t>
  </si>
  <si>
    <t>Thomas Murphy</t>
  </si>
  <si>
    <t>Rhonda Pena</t>
  </si>
  <si>
    <t>Mark Abbott</t>
  </si>
  <si>
    <t>Nicole Gonzalez</t>
  </si>
  <si>
    <t>Robin Lynch</t>
  </si>
  <si>
    <t>Row Labels</t>
  </si>
  <si>
    <t>Grand Total</t>
  </si>
  <si>
    <t>Count of Full Name</t>
  </si>
  <si>
    <t>Number of employees to employment status</t>
  </si>
  <si>
    <t xml:space="preserve">Total </t>
  </si>
  <si>
    <t>Sum of Salary</t>
  </si>
  <si>
    <t>Total</t>
  </si>
  <si>
    <t xml:space="preserve">Salaries to departments </t>
  </si>
  <si>
    <t>Column Labels</t>
  </si>
  <si>
    <t>Age range to gender</t>
  </si>
  <si>
    <t>Total Percentge</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</si>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</sst>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6" x14ac:knownFonts="1">
    <font>
      <sz val="11"/>
      <color theme="1"/>
      <name val="Aptos Narrow"/>
      <family val="2"/>
      <scheme val="minor"/>
    </font>
    <font>
      <sz val="11"/>
      <color theme="1"/>
      <name val="Aptos Narrow"/>
      <family val="2"/>
      <scheme val="minor"/>
    </font>
    <font>
      <b/>
      <sz val="18"/>
      <color theme="1"/>
      <name val="Aptos Narrow"/>
      <family val="2"/>
      <scheme val="minor"/>
    </font>
    <font>
      <b/>
      <i/>
      <sz val="18"/>
      <color theme="0"/>
      <name val="Abadi ExtraLight"/>
      <family val="2"/>
    </font>
    <font>
      <b/>
      <i/>
      <sz val="18"/>
      <color theme="0"/>
      <name val="Aptos Narrow"/>
      <family val="2"/>
      <scheme val="minor"/>
    </font>
    <font>
      <b/>
      <sz val="18"/>
      <color theme="2" tint="-0.89999084444715716"/>
      <name val="Aptos Narrow"/>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2" tint="-0.249977111117893"/>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0" fillId="2" borderId="0" xfId="0" applyFill="1"/>
    <xf numFmtId="14" fontId="0" fillId="0" borderId="0" xfId="0" applyNumberFormat="1"/>
    <xf numFmtId="0" fontId="2" fillId="0" borderId="0" xfId="0" applyFont="1" applyAlignment="1">
      <alignment horizontal="center" vertical="center"/>
    </xf>
    <xf numFmtId="0" fontId="2" fillId="0" borderId="0" xfId="0" applyFont="1"/>
    <xf numFmtId="0" fontId="2" fillId="0" borderId="0" xfId="0" pivotButton="1" applyFont="1"/>
    <xf numFmtId="0" fontId="2" fillId="0" borderId="0" xfId="0" applyFont="1" applyAlignment="1">
      <alignment horizontal="left"/>
    </xf>
    <xf numFmtId="164" fontId="2" fillId="0" borderId="0" xfId="0" applyNumberFormat="1" applyFont="1"/>
    <xf numFmtId="0" fontId="5" fillId="3" borderId="1" xfId="0" applyFont="1" applyFill="1" applyBorder="1" applyAlignment="1">
      <alignment horizontal="left"/>
    </xf>
    <xf numFmtId="0" fontId="5" fillId="3" borderId="1" xfId="0" applyFont="1" applyFill="1" applyBorder="1"/>
    <xf numFmtId="0" fontId="2" fillId="0" borderId="1" xfId="0" applyFont="1" applyBorder="1" applyAlignment="1">
      <alignment horizontal="left"/>
    </xf>
    <xf numFmtId="164" fontId="2" fillId="0" borderId="1" xfId="1" applyNumberFormat="1" applyFont="1" applyBorder="1"/>
    <xf numFmtId="164" fontId="2" fillId="0" borderId="1" xfId="0" applyNumberFormat="1" applyFont="1" applyBorder="1"/>
    <xf numFmtId="0" fontId="2" fillId="0" borderId="1" xfId="0" applyFont="1" applyBorder="1"/>
    <xf numFmtId="9" fontId="2" fillId="0" borderId="1" xfId="0" applyNumberFormat="1" applyFont="1" applyBorder="1">
      <extLst>
        <ext xmlns:xfpb="http://schemas.microsoft.com/office/spreadsheetml/2022/featurepropertybag" uri="{C7286773-470A-42A8-94C5-96B5CB345126}">
          <xfpb:xfComplement i="0"/>
        </ext>
      </extLst>
    </xf>
    <xf numFmtId="9" fontId="2" fillId="0" borderId="1" xfId="0" applyNumberFormat="1" applyFont="1" applyBorder="1"/>
    <xf numFmtId="1" fontId="2" fillId="0" borderId="1" xfId="0" applyNumberFormat="1" applyFont="1" applyBorder="1"/>
    <xf numFmtId="10" fontId="2" fillId="0" borderId="1" xfId="0" applyNumberFormat="1" applyFont="1" applyBorder="1"/>
    <xf numFmtId="165" fontId="2" fillId="0" borderId="0" xfId="0" applyNumberFormat="1" applyFont="1"/>
    <xf numFmtId="0" fontId="2" fillId="0" borderId="0" xfId="0" applyFont="1" applyAlignment="1">
      <alignment horizontal="center"/>
    </xf>
    <xf numFmtId="165" fontId="2" fillId="0" borderId="1" xfId="0" applyNumberFormat="1" applyFont="1" applyBorder="1"/>
    <xf numFmtId="0" fontId="2" fillId="5" borderId="0" xfId="0" applyFont="1" applyFill="1" applyAlignment="1">
      <alignment horizontal="center" vertical="center"/>
    </xf>
    <xf numFmtId="0" fontId="2" fillId="4" borderId="0" xfId="0" applyFont="1" applyFill="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2" fillId="0" borderId="0" xfId="0" applyNumberFormat="1" applyFont="1"/>
  </cellXfs>
  <cellStyles count="2">
    <cellStyle name="Comma" xfId="1" builtinId="3"/>
    <cellStyle name="Normal" xfId="0" builtinId="0"/>
  </cellStyles>
  <dxfs count="212">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numFmt numFmtId="2" formatCode="0.00"/>
    </dxf>
    <dxf>
      <font>
        <b/>
      </font>
    </dxf>
    <dxf>
      <font>
        <sz val="12"/>
      </font>
    </dxf>
    <dxf>
      <numFmt numFmtId="165" formatCode="0.0"/>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164" formatCode="_(* #,##0_);_(* \(#,##0\);_(* &quot;-&quot;??_);_(@_)"/>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numFmt numFmtId="165" formatCode="0.0"/>
    </dxf>
    <dxf>
      <font>
        <sz val="12"/>
      </font>
    </dxf>
    <dxf>
      <font>
        <b/>
      </font>
    </dxf>
    <dxf>
      <numFmt numFmtId="2" formatCode="0.00"/>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numFmt numFmtId="164" formatCode="_(* #,##0_);_(* \(#,##0\);_(* &quot;-&quot;??_);_(@_)"/>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val="0"/>
        <i val="0"/>
        <sz val="24"/>
        <color theme="1" tint="0.24994659260841701"/>
        <name val="Aptos Display"/>
        <family val="2"/>
        <scheme val="major"/>
      </font>
      <fill>
        <patternFill patternType="solid">
          <fgColor theme="0"/>
          <bgColor rgb="FFFFC00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28"/>
        <name val="Abadi"/>
        <family val="2"/>
        <scheme val="none"/>
      </font>
      <fill>
        <patternFill>
          <bgColor rgb="FFE5B244"/>
        </patternFill>
      </fill>
    </dxf>
  </dxfs>
  <tableStyles count="2" defaultTableStyle="TableStyleMedium2" defaultPivotStyle="PivotStyleLight16">
    <tableStyle name="Slicer Style 5" pivot="0" table="0" count="1" xr9:uid="{672F5A24-3200-43F2-B498-440F3C9209BF}">
      <tableStyleElement type="wholeTable" dxfId="211"/>
    </tableStyle>
    <tableStyle name="Timeline Style 1" pivot="0" table="0" count="8" xr9:uid="{5252DF15-14BE-4809-858D-391352239A0D}">
      <tableStyleElement type="wholeTable" dxfId="210"/>
      <tableStyleElement type="headerRow" dxfId="209"/>
    </tableStyle>
  </tableStyles>
  <colors>
    <mruColors>
      <color rgb="FFE5B244"/>
      <color rgb="FFFF9900"/>
      <color rgb="FFE2BC92"/>
      <color rgb="FFFFFFFF"/>
      <color rgb="FF444408"/>
    </mruColors>
  </colors>
  <extLst>
    <ext xmlns:x14="http://schemas.microsoft.com/office/spreadsheetml/2009/9/main" uri="{EB79DEF2-80B8-43e5-95BD-54CBDDF9020C}">
      <x14:slicerStyles defaultSlicerStyle="SlicerStyleLight1">
        <x14:slicerStyle name="Slicer Style 5"/>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4"/>
          <c:dPt>
            <c:idx val="0"/>
            <c:bubble3D val="0"/>
            <c:spPr>
              <a:solidFill>
                <a:srgbClr val="E5B244"/>
              </a:solidFill>
              <a:ln w="19050">
                <a:noFill/>
              </a:ln>
              <a:effectLst/>
            </c:spPr>
            <c:extLst>
              <c:ext xmlns:c16="http://schemas.microsoft.com/office/drawing/2014/chart" uri="{C3380CC4-5D6E-409C-BE32-E72D297353CC}">
                <c16:uniqueId val="{00000001-FDA3-4429-9723-A0265CAA7FAA}"/>
              </c:ext>
            </c:extLst>
          </c:dPt>
          <c:dPt>
            <c:idx val="1"/>
            <c:bubble3D val="0"/>
            <c:spPr>
              <a:solidFill>
                <a:schemeClr val="tx1">
                  <a:lumMod val="75000"/>
                  <a:lumOff val="25000"/>
                </a:schemeClr>
              </a:solidFill>
              <a:ln w="19050">
                <a:solidFill>
                  <a:schemeClr val="bg2">
                    <a:lumMod val="25000"/>
                  </a:schemeClr>
                </a:solidFill>
              </a:ln>
              <a:effectLst/>
            </c:spPr>
            <c:extLst>
              <c:ext xmlns:c16="http://schemas.microsoft.com/office/drawing/2014/chart" uri="{C3380CC4-5D6E-409C-BE32-E72D297353CC}">
                <c16:uniqueId val="{00000003-FDA3-4429-9723-A0265CAA7FAA}"/>
              </c:ext>
            </c:extLst>
          </c:dPt>
          <c:dPt>
            <c:idx val="2"/>
            <c:bubble3D val="0"/>
            <c:spPr>
              <a:solidFill>
                <a:schemeClr val="bg1"/>
              </a:solidFill>
              <a:ln w="19050">
                <a:solidFill>
                  <a:schemeClr val="tx1">
                    <a:lumMod val="95000"/>
                    <a:lumOff val="5000"/>
                  </a:schemeClr>
                </a:solidFill>
              </a:ln>
              <a:effectLst/>
            </c:spPr>
            <c:extLst>
              <c:ext xmlns:c16="http://schemas.microsoft.com/office/drawing/2014/chart" uri="{C3380CC4-5D6E-409C-BE32-E72D297353CC}">
                <c16:uniqueId val="{00000005-FDA3-4429-9723-A0265CAA7FAA}"/>
              </c:ext>
            </c:extLst>
          </c:dPt>
          <c:cat>
            <c:strRef>
              <c:f>PivotTable!$B$11:$B$13</c:f>
              <c:strCache>
                <c:ptCount val="3"/>
                <c:pt idx="0">
                  <c:v>Contract</c:v>
                </c:pt>
                <c:pt idx="1">
                  <c:v>Full-Time</c:v>
                </c:pt>
                <c:pt idx="2">
                  <c:v>Part-Time</c:v>
                </c:pt>
              </c:strCache>
            </c:strRef>
          </c:cat>
          <c:val>
            <c:numRef>
              <c:f>PivotTable!$C$11:$C$13</c:f>
              <c:numCache>
                <c:formatCode>General</c:formatCode>
                <c:ptCount val="3"/>
                <c:pt idx="0">
                  <c:v>17</c:v>
                </c:pt>
                <c:pt idx="1">
                  <c:v>20</c:v>
                </c:pt>
                <c:pt idx="2">
                  <c:v>13</c:v>
                </c:pt>
              </c:numCache>
            </c:numRef>
          </c:val>
          <c:extLst>
            <c:ext xmlns:c16="http://schemas.microsoft.com/office/drawing/2014/chart" uri="{C3380CC4-5D6E-409C-BE32-E72D297353CC}">
              <c16:uniqueId val="{00000006-FDA3-4429-9723-A0265CAA7F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[ProjectOne.xlsx]PivotTable!Catof Age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E5B244">
                      <a:alpha val="61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03149606299214E-2"/>
          <c:y val="0.10648148148148148"/>
          <c:w val="0.91841907261592304"/>
          <c:h val="0.78648950131233597"/>
        </c:manualLayout>
      </c:layout>
      <c:barChart>
        <c:barDir val="col"/>
        <c:grouping val="clustered"/>
        <c:varyColors val="0"/>
        <c:ser>
          <c:idx val="0"/>
          <c:order val="0"/>
          <c:tx>
            <c:strRef>
              <c:f>PivotTable!$K$5:$K$6</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E5B244">
                        <a:alpha val="61000"/>
                      </a:srgb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PivotTable!$J$7:$J$12</c:f>
              <c:strCache>
                <c:ptCount val="5"/>
                <c:pt idx="0">
                  <c:v>18-25</c:v>
                </c:pt>
                <c:pt idx="1">
                  <c:v>26-35</c:v>
                </c:pt>
                <c:pt idx="2">
                  <c:v>36-45</c:v>
                </c:pt>
                <c:pt idx="3">
                  <c:v>46-55</c:v>
                </c:pt>
                <c:pt idx="4">
                  <c:v>56 &lt;</c:v>
                </c:pt>
              </c:strCache>
            </c:strRef>
          </c:cat>
          <c:val>
            <c:numRef>
              <c:f>PivotTable!$K$7:$K$12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2919-4F99-B8EC-636D85465701}"/>
            </c:ext>
          </c:extLst>
        </c:ser>
        <c:ser>
          <c:idx val="1"/>
          <c:order val="1"/>
          <c:tx>
            <c:strRef>
              <c:f>PivotTable!$L$5:$L$6</c:f>
              <c:strCache>
                <c:ptCount val="1"/>
                <c:pt idx="0">
                  <c:v>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PivotTable!$J$7:$J$12</c:f>
              <c:strCache>
                <c:ptCount val="5"/>
                <c:pt idx="0">
                  <c:v>18-25</c:v>
                </c:pt>
                <c:pt idx="1">
                  <c:v>26-35</c:v>
                </c:pt>
                <c:pt idx="2">
                  <c:v>36-45</c:v>
                </c:pt>
                <c:pt idx="3">
                  <c:v>46-55</c:v>
                </c:pt>
                <c:pt idx="4">
                  <c:v>56 &lt;</c:v>
                </c:pt>
              </c:strCache>
            </c:strRef>
          </c:cat>
          <c:val>
            <c:numRef>
              <c:f>PivotTable!$L$7:$L$12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0-1449-4DF5-B756-E875BF3F847C}"/>
            </c:ext>
          </c:extLst>
        </c:ser>
        <c:dLbls>
          <c:showLegendKey val="0"/>
          <c:showVal val="1"/>
          <c:showCatName val="0"/>
          <c:showSerName val="0"/>
          <c:showPercent val="0"/>
          <c:showBubbleSize val="0"/>
        </c:dLbls>
        <c:gapWidth val="219"/>
        <c:overlap val="-27"/>
        <c:axId val="729761360"/>
        <c:axId val="729773360"/>
      </c:barChart>
      <c:catAx>
        <c:axId val="7297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29773360"/>
        <c:crosses val="autoZero"/>
        <c:auto val="1"/>
        <c:lblAlgn val="ctr"/>
        <c:lblOffset val="100"/>
        <c:noMultiLvlLbl val="0"/>
      </c:catAx>
      <c:valAx>
        <c:axId val="72977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29761360"/>
        <c:crosses val="autoZero"/>
        <c:crossBetween val="between"/>
      </c:valAx>
      <c:spPr>
        <a:solidFill>
          <a:schemeClr val="tx1">
            <a:lumMod val="75000"/>
            <a:lumOff val="25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2421889779181E-2"/>
          <c:y val="0.20008765472060774"/>
          <c:w val="0.93351562204416383"/>
          <c:h val="0.59982469055878451"/>
        </c:manualLayout>
      </c:layout>
      <c:barChart>
        <c:barDir val="bar"/>
        <c:grouping val="percentStacked"/>
        <c:varyColors val="0"/>
        <c:ser>
          <c:idx val="0"/>
          <c:order val="0"/>
          <c:spPr>
            <a:solidFill>
              <a:schemeClr val="tx1">
                <a:lumMod val="85000"/>
                <a:lumOff val="15000"/>
              </a:schemeClr>
            </a:solidFill>
            <a:ln>
              <a:solidFill>
                <a:schemeClr val="tx1">
                  <a:lumMod val="95000"/>
                  <a:lumOff val="5000"/>
                </a:schemeClr>
              </a:solidFill>
            </a:ln>
            <a:effectLst/>
          </c:spPr>
          <c:invertIfNegative val="0"/>
          <c:val>
            <c:numRef>
              <c:f>PivotTable!$D$27</c:f>
              <c:numCache>
                <c:formatCode>0%</c:formatCode>
                <c:ptCount val="1"/>
                <c:pt idx="0">
                  <c:v>0.46</c:v>
                </c:pt>
              </c:numCache>
            </c:numRef>
          </c:val>
          <c:extLst>
            <c:ext xmlns:c16="http://schemas.microsoft.com/office/drawing/2014/chart" uri="{C3380CC4-5D6E-409C-BE32-E72D297353CC}">
              <c16:uniqueId val="{00000000-4159-4262-B885-4EDE08AE949F}"/>
            </c:ext>
          </c:extLst>
        </c:ser>
        <c:ser>
          <c:idx val="1"/>
          <c:order val="1"/>
          <c:spPr>
            <a:solidFill>
              <a:schemeClr val="bg1"/>
            </a:solidFill>
            <a:ln>
              <a:noFill/>
            </a:ln>
            <a:effectLst/>
          </c:spPr>
          <c:invertIfNegative val="0"/>
          <c:val>
            <c:numRef>
              <c:f>PivotTable!$E$27</c:f>
              <c:numCache>
                <c:formatCode>0%</c:formatCode>
                <c:ptCount val="1"/>
                <c:pt idx="0">
                  <c:v>0.54</c:v>
                </c:pt>
              </c:numCache>
            </c:numRef>
          </c:val>
          <c:extLst>
            <c:ext xmlns:c16="http://schemas.microsoft.com/office/drawing/2014/chart" uri="{C3380CC4-5D6E-409C-BE32-E72D297353CC}">
              <c16:uniqueId val="{00000001-4159-4262-B885-4EDE08AE949F}"/>
            </c:ext>
          </c:extLst>
        </c:ser>
        <c:dLbls>
          <c:showLegendKey val="0"/>
          <c:showVal val="0"/>
          <c:showCatName val="0"/>
          <c:showSerName val="0"/>
          <c:showPercent val="0"/>
          <c:showBubbleSize val="0"/>
        </c:dLbls>
        <c:gapWidth val="150"/>
        <c:overlap val="100"/>
        <c:axId val="1337549775"/>
        <c:axId val="1337550255"/>
      </c:barChart>
      <c:catAx>
        <c:axId val="1337549775"/>
        <c:scaling>
          <c:orientation val="minMax"/>
        </c:scaling>
        <c:delete val="1"/>
        <c:axPos val="l"/>
        <c:majorTickMark val="none"/>
        <c:minorTickMark val="none"/>
        <c:tickLblPos val="nextTo"/>
        <c:crossAx val="1337550255"/>
        <c:crosses val="autoZero"/>
        <c:auto val="1"/>
        <c:lblAlgn val="ctr"/>
        <c:lblOffset val="100"/>
        <c:noMultiLvlLbl val="0"/>
      </c:catAx>
      <c:valAx>
        <c:axId val="1337550255"/>
        <c:scaling>
          <c:orientation val="minMax"/>
        </c:scaling>
        <c:delete val="1"/>
        <c:axPos val="b"/>
        <c:numFmt formatCode="0%" sourceLinked="1"/>
        <c:majorTickMark val="none"/>
        <c:minorTickMark val="none"/>
        <c:tickLblPos val="nextTo"/>
        <c:crossAx val="133754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PivotTable!$D$28</c:f>
              <c:numCache>
                <c:formatCode>0%</c:formatCode>
                <c:ptCount val="1"/>
                <c:pt idx="0">
                  <c:v>0.16</c:v>
                </c:pt>
              </c:numCache>
            </c:numRef>
          </c:val>
          <c:extLst>
            <c:ext xmlns:c16="http://schemas.microsoft.com/office/drawing/2014/chart" uri="{C3380CC4-5D6E-409C-BE32-E72D297353CC}">
              <c16:uniqueId val="{00000000-9773-4BBD-BD84-06361AB02522}"/>
            </c:ext>
          </c:extLst>
        </c:ser>
        <c:ser>
          <c:idx val="1"/>
          <c:order val="1"/>
          <c:spPr>
            <a:solidFill>
              <a:schemeClr val="bg1"/>
            </a:solidFill>
            <a:ln>
              <a:noFill/>
            </a:ln>
            <a:effectLst/>
          </c:spPr>
          <c:invertIfNegative val="0"/>
          <c:val>
            <c:numRef>
              <c:f>PivotTable!$E$28</c:f>
              <c:numCache>
                <c:formatCode>0%</c:formatCode>
                <c:ptCount val="1"/>
                <c:pt idx="0">
                  <c:v>0.84</c:v>
                </c:pt>
              </c:numCache>
            </c:numRef>
          </c:val>
          <c:extLst>
            <c:ext xmlns:c16="http://schemas.microsoft.com/office/drawing/2014/chart" uri="{C3380CC4-5D6E-409C-BE32-E72D297353CC}">
              <c16:uniqueId val="{00000001-9773-4BBD-BD84-06361AB02522}"/>
            </c:ext>
          </c:extLst>
        </c:ser>
        <c:dLbls>
          <c:showLegendKey val="0"/>
          <c:showVal val="0"/>
          <c:showCatName val="0"/>
          <c:showSerName val="0"/>
          <c:showPercent val="0"/>
          <c:showBubbleSize val="0"/>
        </c:dLbls>
        <c:gapWidth val="150"/>
        <c:overlap val="100"/>
        <c:axId val="1219529807"/>
        <c:axId val="1219549007"/>
      </c:barChart>
      <c:catAx>
        <c:axId val="1219529807"/>
        <c:scaling>
          <c:orientation val="minMax"/>
        </c:scaling>
        <c:delete val="1"/>
        <c:axPos val="l"/>
        <c:majorTickMark val="none"/>
        <c:minorTickMark val="none"/>
        <c:tickLblPos val="nextTo"/>
        <c:crossAx val="1219549007"/>
        <c:crosses val="autoZero"/>
        <c:auto val="1"/>
        <c:lblAlgn val="ctr"/>
        <c:lblOffset val="100"/>
        <c:noMultiLvlLbl val="0"/>
      </c:catAx>
      <c:valAx>
        <c:axId val="1219549007"/>
        <c:scaling>
          <c:orientation val="minMax"/>
        </c:scaling>
        <c:delete val="1"/>
        <c:axPos val="b"/>
        <c:numFmt formatCode="0%" sourceLinked="1"/>
        <c:majorTickMark val="none"/>
        <c:minorTickMark val="none"/>
        <c:tickLblPos val="nextTo"/>
        <c:crossAx val="121952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2-2377-4BC9-9B42-2269B8ED1ED9}"/>
              </c:ext>
            </c:extLst>
          </c:dPt>
          <c:val>
            <c:numRef>
              <c:f>PivotTable!$D$29</c:f>
              <c:numCache>
                <c:formatCode>0%</c:formatCode>
                <c:ptCount val="1"/>
                <c:pt idx="0">
                  <c:v>0.38</c:v>
                </c:pt>
              </c:numCache>
            </c:numRef>
          </c:val>
          <c:extLst>
            <c:ext xmlns:c16="http://schemas.microsoft.com/office/drawing/2014/chart" uri="{C3380CC4-5D6E-409C-BE32-E72D297353CC}">
              <c16:uniqueId val="{00000000-2377-4BC9-9B42-2269B8ED1ED9}"/>
            </c:ext>
          </c:extLst>
        </c:ser>
        <c:ser>
          <c:idx val="1"/>
          <c:order val="1"/>
          <c:spPr>
            <a:solidFill>
              <a:schemeClr val="bg2">
                <a:lumMod val="10000"/>
                <a:alpha val="42000"/>
              </a:schemeClr>
            </a:solidFill>
            <a:ln>
              <a:solidFill>
                <a:schemeClr val="tx1">
                  <a:lumMod val="95000"/>
                  <a:lumOff val="5000"/>
                </a:schemeClr>
              </a:solidFill>
            </a:ln>
            <a:effectLst/>
          </c:spPr>
          <c:invertIfNegative val="0"/>
          <c:val>
            <c:numRef>
              <c:f>PivotTable!$E$29</c:f>
              <c:numCache>
                <c:formatCode>0%</c:formatCode>
                <c:ptCount val="1"/>
                <c:pt idx="0">
                  <c:v>0.62</c:v>
                </c:pt>
              </c:numCache>
            </c:numRef>
          </c:val>
          <c:extLst>
            <c:ext xmlns:c16="http://schemas.microsoft.com/office/drawing/2014/chart" uri="{C3380CC4-5D6E-409C-BE32-E72D297353CC}">
              <c16:uniqueId val="{00000001-2377-4BC9-9B42-2269B8ED1ED9}"/>
            </c:ext>
          </c:extLst>
        </c:ser>
        <c:dLbls>
          <c:showLegendKey val="0"/>
          <c:showVal val="0"/>
          <c:showCatName val="0"/>
          <c:showSerName val="0"/>
          <c:showPercent val="0"/>
          <c:showBubbleSize val="0"/>
        </c:dLbls>
        <c:gapWidth val="150"/>
        <c:overlap val="100"/>
        <c:axId val="1337523855"/>
        <c:axId val="1337520495"/>
      </c:barChart>
      <c:catAx>
        <c:axId val="1337523855"/>
        <c:scaling>
          <c:orientation val="minMax"/>
        </c:scaling>
        <c:delete val="1"/>
        <c:axPos val="l"/>
        <c:majorTickMark val="none"/>
        <c:minorTickMark val="none"/>
        <c:tickLblPos val="nextTo"/>
        <c:crossAx val="1337520495"/>
        <c:crosses val="autoZero"/>
        <c:auto val="1"/>
        <c:lblAlgn val="ctr"/>
        <c:lblOffset val="100"/>
        <c:noMultiLvlLbl val="0"/>
      </c:catAx>
      <c:valAx>
        <c:axId val="1337520495"/>
        <c:scaling>
          <c:orientation val="minMax"/>
        </c:scaling>
        <c:delete val="1"/>
        <c:axPos val="b"/>
        <c:numFmt formatCode="0%" sourceLinked="1"/>
        <c:majorTickMark val="none"/>
        <c:minorTickMark val="none"/>
        <c:tickLblPos val="nextTo"/>
        <c:crossAx val="13375238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4AFD-459D-B525-DAD7EC04F518}"/>
              </c:ext>
            </c:extLst>
          </c:dPt>
          <c:dPt>
            <c:idx val="1"/>
            <c:bubble3D val="0"/>
            <c:spPr>
              <a:solidFill>
                <a:srgbClr val="E5B244"/>
              </a:solidFill>
              <a:ln w="19050">
                <a:solidFill>
                  <a:schemeClr val="lt1"/>
                </a:solidFill>
              </a:ln>
              <a:effectLst/>
            </c:spPr>
            <c:extLst>
              <c:ext xmlns:c16="http://schemas.microsoft.com/office/drawing/2014/chart" uri="{C3380CC4-5D6E-409C-BE32-E72D297353CC}">
                <c16:uniqueId val="{00000003-4AFD-459D-B525-DAD7EC04F518}"/>
              </c:ext>
            </c:extLst>
          </c:dPt>
          <c:val>
            <c:numRef>
              <c:f>PivotTable!$L$21:$M$21</c:f>
              <c:numCache>
                <c:formatCode>0%</c:formatCode>
                <c:ptCount val="2"/>
                <c:pt idx="0">
                  <c:v>0.48</c:v>
                </c:pt>
                <c:pt idx="1">
                  <c:v>0.52</c:v>
                </c:pt>
              </c:numCache>
            </c:numRef>
          </c:val>
          <c:extLst>
            <c:ext xmlns:c16="http://schemas.microsoft.com/office/drawing/2014/chart" uri="{C3380CC4-5D6E-409C-BE32-E72D297353CC}">
              <c16:uniqueId val="{00000004-4AFD-459D-B525-DAD7EC04F51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63928442529712"/>
          <c:y val="6.0994753751677587E-2"/>
          <c:w val="0.58038333181605228"/>
          <c:h val="0.88213377521215075"/>
        </c:manualLayout>
      </c:layout>
      <c:doughnutChart>
        <c:varyColors val="1"/>
        <c:ser>
          <c:idx val="0"/>
          <c:order val="0"/>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9FDA-4BF1-BEDE-635448CA14E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FDA-4BF1-BEDE-635448CA14EF}"/>
              </c:ext>
            </c:extLst>
          </c:dPt>
          <c:val>
            <c:numRef>
              <c:f>PivotTable!$L$22:$M$22</c:f>
              <c:numCache>
                <c:formatCode>0%</c:formatCode>
                <c:ptCount val="2"/>
                <c:pt idx="0">
                  <c:v>0.52</c:v>
                </c:pt>
                <c:pt idx="1">
                  <c:v>0.48</c:v>
                </c:pt>
              </c:numCache>
            </c:numRef>
          </c:val>
          <c:extLst>
            <c:ext xmlns:c16="http://schemas.microsoft.com/office/drawing/2014/chart" uri="{C3380CC4-5D6E-409C-BE32-E72D297353CC}">
              <c16:uniqueId val="{00000004-9FDA-4BF1-BEDE-635448CA14E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PivotTable!$F$13</c:f>
              <c:strCache>
                <c:ptCount val="1"/>
                <c:pt idx="0">
                  <c:v>Analyst</c:v>
                </c:pt>
              </c:strCache>
            </c:strRef>
          </c:tx>
          <c:spPr>
            <a:solidFill>
              <a:schemeClr val="accent6"/>
            </a:solidFill>
            <a:ln>
              <a:noFill/>
            </a:ln>
            <a:effectLst/>
          </c:spPr>
          <c:invertIfNegative val="0"/>
          <c:dLbls>
            <c:dLbl>
              <c:idx val="0"/>
              <c:tx>
                <c:rich>
                  <a:bodyPr/>
                  <a:lstStyle/>
                  <a:p>
                    <a:fld id="{2FA9FC50-E717-4B3C-B458-36F7386FBCFF}"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B27A-489A-A979-9AD90871579F}"/>
                </c:ext>
              </c:extLst>
            </c:dLbl>
            <c:spPr>
              <a:noFill/>
              <a:ln>
                <a:noFill/>
              </a:ln>
              <a:effectLst/>
            </c:spPr>
            <c:txPr>
              <a:bodyPr rot="0" spcFirstLastPara="1" vertOverflow="ellipsis" vert="horz" wrap="square" lIns="38100" tIns="19050" rIns="38100" bIns="19050" anchor="ctr" anchorCtr="1">
                <a:spAutoFit/>
              </a:bodyPr>
              <a:lstStyle/>
              <a:p>
                <a:pPr>
                  <a:defRPr lang="en-US" sz="40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PivotTable!$H$13</c:f>
              <c:numCache>
                <c:formatCode>_(* #,##0_);_(* \(#,##0\);_(* "-"??_);_(@_)</c:formatCode>
                <c:ptCount val="1"/>
                <c:pt idx="0">
                  <c:v>28</c:v>
                </c:pt>
              </c:numCache>
            </c:numRef>
          </c:val>
          <c:extLst>
            <c:ext xmlns:c16="http://schemas.microsoft.com/office/drawing/2014/chart" uri="{C3380CC4-5D6E-409C-BE32-E72D297353CC}">
              <c16:uniqueId val="{00000000-B27A-489A-A979-9AD90871579F}"/>
            </c:ext>
          </c:extLst>
        </c:ser>
        <c:ser>
          <c:idx val="1"/>
          <c:order val="1"/>
          <c:tx>
            <c:strRef>
              <c:f>PivotTable!$F$14</c:f>
              <c:strCache>
                <c:ptCount val="1"/>
                <c:pt idx="0">
                  <c:v>Designer</c:v>
                </c:pt>
              </c:strCache>
            </c:strRef>
          </c:tx>
          <c:spPr>
            <a:solidFill>
              <a:schemeClr val="bg2"/>
            </a:solidFill>
            <a:ln>
              <a:noFill/>
            </a:ln>
            <a:effectLst/>
          </c:spPr>
          <c:invertIfNegative val="0"/>
          <c:dLbls>
            <c:dLbl>
              <c:idx val="0"/>
              <c:tx>
                <c:rich>
                  <a:bodyPr/>
                  <a:lstStyle/>
                  <a:p>
                    <a:fld id="{B4D90C0A-F248-4ACE-B809-4770F8A13D89}" type="VALUE">
                      <a:rPr lang="en-US">
                        <a:solidFill>
                          <a:schemeClr val="bg1">
                            <a:lumMod val="75000"/>
                          </a:schemeClr>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B27A-489A-A979-9AD90871579F}"/>
                </c:ext>
              </c:extLst>
            </c:dLbl>
            <c:spPr>
              <a:noFill/>
              <a:ln>
                <a:noFill/>
              </a:ln>
              <a:effectLst/>
            </c:spPr>
            <c:txPr>
              <a:bodyPr rot="0" spcFirstLastPara="1" vertOverflow="ellipsis" vert="horz" wrap="square" lIns="38100" tIns="19050" rIns="38100" bIns="19050" anchor="ctr" anchorCtr="1">
                <a:spAutoFit/>
              </a:bodyPr>
              <a:lstStyle/>
              <a:p>
                <a:pPr>
                  <a:defRPr lang="en-US" sz="40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PivotTable!$H$14</c:f>
              <c:numCache>
                <c:formatCode>_(* #,##0_);_(* \(#,##0\);_(* "-"??_);_(@_)</c:formatCode>
                <c:ptCount val="1"/>
                <c:pt idx="0">
                  <c:v>110</c:v>
                </c:pt>
              </c:numCache>
            </c:numRef>
          </c:val>
          <c:extLst>
            <c:ext xmlns:c16="http://schemas.microsoft.com/office/drawing/2014/chart" uri="{C3380CC4-5D6E-409C-BE32-E72D297353CC}">
              <c16:uniqueId val="{00000001-B27A-489A-A979-9AD90871579F}"/>
            </c:ext>
          </c:extLst>
        </c:ser>
        <c:ser>
          <c:idx val="2"/>
          <c:order val="2"/>
          <c:tx>
            <c:strRef>
              <c:f>PivotTable!$F$15</c:f>
              <c:strCache>
                <c:ptCount val="1"/>
                <c:pt idx="0">
                  <c:v>Developer</c:v>
                </c:pt>
              </c:strCache>
            </c:strRef>
          </c:tx>
          <c:spPr>
            <a:solidFill>
              <a:srgbClr val="92D050"/>
            </a:solidFill>
            <a:ln>
              <a:noFill/>
            </a:ln>
            <a:effectLst/>
          </c:spPr>
          <c:invertIfNegative val="0"/>
          <c:dLbls>
            <c:dLbl>
              <c:idx val="0"/>
              <c:tx>
                <c:rich>
                  <a:bodyPr/>
                  <a:lstStyle/>
                  <a:p>
                    <a:fld id="{F9786B23-367D-4108-89B8-DE8DCEDE7B05}" type="VALUE">
                      <a:rPr lang="en-US">
                        <a:solidFill>
                          <a:srgbClr val="92D05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27A-489A-A979-9AD90871579F}"/>
                </c:ext>
              </c:extLst>
            </c:dLbl>
            <c:spPr>
              <a:noFill/>
              <a:ln>
                <a:noFill/>
              </a:ln>
              <a:effectLst/>
            </c:spPr>
            <c:txPr>
              <a:bodyPr rot="0" spcFirstLastPara="1" vertOverflow="ellipsis" vert="horz" wrap="square" lIns="38100" tIns="19050" rIns="38100" bIns="19050" anchor="ctr" anchorCtr="1">
                <a:spAutoFit/>
              </a:bodyPr>
              <a:lstStyle/>
              <a:p>
                <a:pPr>
                  <a:defRPr lang="en-US" sz="40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PivotTable!$H$15</c:f>
              <c:numCache>
                <c:formatCode>_(* #,##0_);_(* \(#,##0\);_(* "-"??_);_(@_)</c:formatCode>
                <c:ptCount val="1"/>
                <c:pt idx="0">
                  <c:v>104</c:v>
                </c:pt>
              </c:numCache>
            </c:numRef>
          </c:val>
          <c:extLst>
            <c:ext xmlns:c16="http://schemas.microsoft.com/office/drawing/2014/chart" uri="{C3380CC4-5D6E-409C-BE32-E72D297353CC}">
              <c16:uniqueId val="{00000002-B27A-489A-A979-9AD90871579F}"/>
            </c:ext>
          </c:extLst>
        </c:ser>
        <c:ser>
          <c:idx val="3"/>
          <c:order val="3"/>
          <c:tx>
            <c:strRef>
              <c:f>PivotTable!$F$16</c:f>
              <c:strCache>
                <c:ptCount val="1"/>
                <c:pt idx="0">
                  <c:v>HR Specialist</c:v>
                </c:pt>
              </c:strCache>
            </c:strRef>
          </c:tx>
          <c:spPr>
            <a:solidFill>
              <a:schemeClr val="bg1">
                <a:lumMod val="50000"/>
              </a:schemeClr>
            </a:solidFill>
            <a:ln>
              <a:noFill/>
            </a:ln>
            <a:effectLst/>
          </c:spPr>
          <c:invertIfNegative val="0"/>
          <c:dLbls>
            <c:dLbl>
              <c:idx val="0"/>
              <c:tx>
                <c:rich>
                  <a:bodyPr/>
                  <a:lstStyle/>
                  <a:p>
                    <a:fld id="{D564EA04-2E69-48BD-B548-7205029601B7}" type="VALUE">
                      <a:rPr lang="en-US" sz="4000" b="1" i="0" u="none" strike="noStrike" kern="1200" baseline="0">
                        <a:solidFill>
                          <a:schemeClr val="bg2">
                            <a:lumMod val="50000"/>
                          </a:schemeClr>
                        </a:solidFill>
                        <a:latin typeface="+mn-lt"/>
                        <a:ea typeface="+mn-ea"/>
                        <a:cs typeface="+mn-cs"/>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27A-489A-A979-9AD90871579F}"/>
                </c:ext>
              </c:extLst>
            </c:dLbl>
            <c:spPr>
              <a:noFill/>
              <a:ln>
                <a:noFill/>
              </a:ln>
              <a:effectLst/>
            </c:spPr>
            <c:txPr>
              <a:bodyPr rot="0" spcFirstLastPara="1" vertOverflow="ellipsis" vert="horz" wrap="square" lIns="38100" tIns="19050" rIns="38100" bIns="19050" anchor="ctr" anchorCtr="1">
                <a:spAutoFit/>
              </a:bodyPr>
              <a:lstStyle/>
              <a:p>
                <a:pPr>
                  <a:defRPr lang="en-US" sz="40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PivotTable!$H$16</c:f>
              <c:numCache>
                <c:formatCode>_(* #,##0_);_(* \(#,##0\);_(* "-"??_);_(@_)</c:formatCode>
                <c:ptCount val="1"/>
                <c:pt idx="0">
                  <c:v>123</c:v>
                </c:pt>
              </c:numCache>
            </c:numRef>
          </c:val>
          <c:extLst>
            <c:ext xmlns:c16="http://schemas.microsoft.com/office/drawing/2014/chart" uri="{C3380CC4-5D6E-409C-BE32-E72D297353CC}">
              <c16:uniqueId val="{00000003-B27A-489A-A979-9AD90871579F}"/>
            </c:ext>
          </c:extLst>
        </c:ser>
        <c:ser>
          <c:idx val="4"/>
          <c:order val="4"/>
          <c:tx>
            <c:strRef>
              <c:f>PivotTable!$F$17</c:f>
              <c:strCache>
                <c:ptCount val="1"/>
                <c:pt idx="0">
                  <c:v>Manager</c:v>
                </c:pt>
              </c:strCache>
            </c:strRef>
          </c:tx>
          <c:spPr>
            <a:solidFill>
              <a:srgbClr val="E5B244"/>
            </a:solidFill>
            <a:ln>
              <a:noFill/>
            </a:ln>
            <a:effectLst/>
          </c:spPr>
          <c:invertIfNegative val="0"/>
          <c:dLbls>
            <c:dLbl>
              <c:idx val="0"/>
              <c:tx>
                <c:rich>
                  <a:bodyPr/>
                  <a:lstStyle/>
                  <a:p>
                    <a:fld id="{61024AD8-5498-4218-8C10-798B2A3DE0AD}" type="VALUE">
                      <a:rPr lang="en-US" sz="4000" b="1" i="0" u="none" strike="noStrike" kern="1200" baseline="0">
                        <a:solidFill>
                          <a:srgbClr val="E5B244"/>
                        </a:solidFill>
                        <a:latin typeface="+mn-lt"/>
                        <a:ea typeface="+mn-ea"/>
                        <a:cs typeface="+mn-cs"/>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27A-489A-A979-9AD90871579F}"/>
                </c:ext>
              </c:extLst>
            </c:dLbl>
            <c:spPr>
              <a:noFill/>
              <a:ln>
                <a:noFill/>
              </a:ln>
              <a:effectLst/>
            </c:spPr>
            <c:txPr>
              <a:bodyPr rot="0" spcFirstLastPara="1" vertOverflow="ellipsis" vert="horz" wrap="square" lIns="38100" tIns="19050" rIns="38100" bIns="19050" anchor="ctr" anchorCtr="1">
                <a:spAutoFit/>
              </a:bodyPr>
              <a:lstStyle/>
              <a:p>
                <a:pPr>
                  <a:defRPr lang="en-US" sz="4000" b="1" i="0" u="none" strike="noStrike" kern="1200" baseline="0">
                    <a:solidFill>
                      <a:srgbClr val="E5B2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PivotTable!$H$17</c:f>
              <c:numCache>
                <c:formatCode>_(* #,##0_);_(* \(#,##0\);_(* "-"??_);_(@_)</c:formatCode>
                <c:ptCount val="1"/>
                <c:pt idx="0">
                  <c:v>122</c:v>
                </c:pt>
              </c:numCache>
            </c:numRef>
          </c:val>
          <c:extLst>
            <c:ext xmlns:c16="http://schemas.microsoft.com/office/drawing/2014/chart" uri="{C3380CC4-5D6E-409C-BE32-E72D297353CC}">
              <c16:uniqueId val="{00000004-B27A-489A-A979-9AD90871579F}"/>
            </c:ext>
          </c:extLst>
        </c:ser>
        <c:dLbls>
          <c:showLegendKey val="0"/>
          <c:showVal val="1"/>
          <c:showCatName val="0"/>
          <c:showSerName val="0"/>
          <c:showPercent val="0"/>
          <c:showBubbleSize val="0"/>
        </c:dLbls>
        <c:gapWidth val="150"/>
        <c:overlap val="-25"/>
        <c:axId val="244077903"/>
        <c:axId val="244076943"/>
      </c:barChart>
      <c:catAx>
        <c:axId val="24407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76943"/>
        <c:crosses val="autoZero"/>
        <c:auto val="1"/>
        <c:lblAlgn val="ctr"/>
        <c:lblOffset val="100"/>
        <c:noMultiLvlLbl val="0"/>
      </c:catAx>
      <c:valAx>
        <c:axId val="244076943"/>
        <c:scaling>
          <c:orientation val="minMax"/>
        </c:scaling>
        <c:delete val="1"/>
        <c:axPos val="l"/>
        <c:numFmt formatCode="_(* #,##0_);_(* \(#,##0\);_(* &quot;-&quot;??_);_(@_)" sourceLinked="1"/>
        <c:majorTickMark val="none"/>
        <c:minorTickMark val="none"/>
        <c:tickLblPos val="nextTo"/>
        <c:crossAx val="244077903"/>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800" b="0" i="0" u="none" strike="noStrike" kern="1200" baseline="0">
                <a:solidFill>
                  <a:srgbClr val="92D050"/>
                </a:solidFill>
                <a:latin typeface="+mn-lt"/>
                <a:ea typeface="+mn-ea"/>
                <a:cs typeface="+mn-cs"/>
              </a:defRPr>
            </a:pPr>
            <a:endParaRPr lang="en-US"/>
          </a:p>
        </c:txPr>
      </c:legendEntry>
      <c:legendEntry>
        <c:idx val="3"/>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800" b="1" i="0" u="none" strike="noStrike" kern="1200" baseline="0">
                <a:solidFill>
                  <a:srgbClr val="E5B244"/>
                </a:solidFill>
                <a:latin typeface="+mn-lt"/>
                <a:ea typeface="+mn-ea"/>
                <a:cs typeface="+mn-cs"/>
              </a:defRPr>
            </a:pPr>
            <a:endParaRPr lang="en-US"/>
          </a:p>
        </c:txPr>
      </c:legendEntry>
      <c:layout>
        <c:manualLayout>
          <c:xMode val="edge"/>
          <c:yMode val="edge"/>
          <c:x val="0"/>
          <c:y val="2.0123130299055568E-2"/>
          <c:w val="1"/>
          <c:h val="0.20308750845412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[ProjectOne.xlsx]PivotTable!PivotTable4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7215943878491"/>
          <c:y val="4.4037010382615822E-2"/>
          <c:w val="0.80342234791204092"/>
          <c:h val="0.92586080671615112"/>
        </c:manualLayout>
      </c:layout>
      <c:barChart>
        <c:barDir val="bar"/>
        <c:grouping val="clustered"/>
        <c:varyColors val="0"/>
        <c:ser>
          <c:idx val="0"/>
          <c:order val="0"/>
          <c:tx>
            <c:strRef>
              <c:f>PivotTable!$G$35</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PivotTable!$F$36:$F$41</c:f>
              <c:strCache>
                <c:ptCount val="5"/>
                <c:pt idx="0">
                  <c:v>Central</c:v>
                </c:pt>
                <c:pt idx="1">
                  <c:v>East</c:v>
                </c:pt>
                <c:pt idx="2">
                  <c:v>North</c:v>
                </c:pt>
                <c:pt idx="3">
                  <c:v>South</c:v>
                </c:pt>
                <c:pt idx="4">
                  <c:v>West</c:v>
                </c:pt>
              </c:strCache>
            </c:strRef>
          </c:cat>
          <c:val>
            <c:numRef>
              <c:f>PivotTable!$G$36:$G$41</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03F5-4964-BF07-C29FC4D8AE63}"/>
            </c:ext>
          </c:extLst>
        </c:ser>
        <c:dLbls>
          <c:dLblPos val="outEnd"/>
          <c:showLegendKey val="0"/>
          <c:showVal val="1"/>
          <c:showCatName val="0"/>
          <c:showSerName val="0"/>
          <c:showPercent val="0"/>
          <c:showBubbleSize val="0"/>
        </c:dLbls>
        <c:gapWidth val="72"/>
        <c:axId val="563457567"/>
        <c:axId val="563458527"/>
      </c:barChart>
      <c:catAx>
        <c:axId val="56345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63458527"/>
        <c:crosses val="autoZero"/>
        <c:auto val="1"/>
        <c:lblAlgn val="ctr"/>
        <c:lblOffset val="100"/>
        <c:noMultiLvlLbl val="0"/>
      </c:catAx>
      <c:valAx>
        <c:axId val="563458527"/>
        <c:scaling>
          <c:orientation val="minMax"/>
        </c:scaling>
        <c:delete val="1"/>
        <c:axPos val="b"/>
        <c:numFmt formatCode="General" sourceLinked="1"/>
        <c:majorTickMark val="none"/>
        <c:minorTickMark val="none"/>
        <c:tickLblPos val="nextTo"/>
        <c:crossAx val="56345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4.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9.xml"/><Relationship Id="rId5" Type="http://schemas.openxmlformats.org/officeDocument/2006/relationships/chart" Target="../charts/chart5.xml"/><Relationship Id="rId15" Type="http://schemas.microsoft.com/office/2007/relationships/hdphoto" Target="../media/hdphoto2.wdp"/><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29</xdr:col>
      <xdr:colOff>273404</xdr:colOff>
      <xdr:row>58</xdr:row>
      <xdr:rowOff>47999</xdr:rowOff>
    </xdr:from>
    <xdr:to>
      <xdr:col>32</xdr:col>
      <xdr:colOff>370986</xdr:colOff>
      <xdr:row>60</xdr:row>
      <xdr:rowOff>128910</xdr:rowOff>
    </xdr:to>
    <xdr:sp macro="" textlink="">
      <xdr:nvSpPr>
        <xdr:cNvPr id="100" name="Rectangle: Rounded Corners 99">
          <a:extLst>
            <a:ext uri="{FF2B5EF4-FFF2-40B4-BE49-F238E27FC236}">
              <a16:creationId xmlns:a16="http://schemas.microsoft.com/office/drawing/2014/main" id="{AA9BCB44-02DE-4A88-3A8C-1033CC5B9FEF}"/>
            </a:ext>
          </a:extLst>
        </xdr:cNvPr>
        <xdr:cNvSpPr/>
      </xdr:nvSpPr>
      <xdr:spPr>
        <a:xfrm>
          <a:off x="17790111" y="10827511"/>
          <a:ext cx="1909655" cy="452619"/>
        </a:xfrm>
        <a:prstGeom prst="roundRect">
          <a:avLst>
            <a:gd name="adj" fmla="val 50000"/>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408214</xdr:colOff>
      <xdr:row>4</xdr:row>
      <xdr:rowOff>90715</xdr:rowOff>
    </xdr:from>
    <xdr:to>
      <xdr:col>49</xdr:col>
      <xdr:colOff>544285</xdr:colOff>
      <xdr:row>83</xdr:row>
      <xdr:rowOff>68035</xdr:rowOff>
    </xdr:to>
    <xdr:sp macro="" textlink="">
      <xdr:nvSpPr>
        <xdr:cNvPr id="2" name="Rectangle 1">
          <a:extLst>
            <a:ext uri="{FF2B5EF4-FFF2-40B4-BE49-F238E27FC236}">
              <a16:creationId xmlns:a16="http://schemas.microsoft.com/office/drawing/2014/main" id="{9AC90A61-4781-D4D2-FF1C-D5AD7C7CC501}"/>
            </a:ext>
          </a:extLst>
        </xdr:cNvPr>
        <xdr:cNvSpPr/>
      </xdr:nvSpPr>
      <xdr:spPr>
        <a:xfrm>
          <a:off x="3469821" y="816429"/>
          <a:ext cx="27078214" cy="14310177"/>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23232</xdr:colOff>
      <xdr:row>59</xdr:row>
      <xdr:rowOff>85017</xdr:rowOff>
    </xdr:from>
    <xdr:to>
      <xdr:col>15</xdr:col>
      <xdr:colOff>568862</xdr:colOff>
      <xdr:row>82</xdr:row>
      <xdr:rowOff>83618</xdr:rowOff>
    </xdr:to>
    <xdr:sp macro="" textlink="">
      <xdr:nvSpPr>
        <xdr:cNvPr id="3" name="Rectangle: Rounded Corners 2">
          <a:extLst>
            <a:ext uri="{FF2B5EF4-FFF2-40B4-BE49-F238E27FC236}">
              <a16:creationId xmlns:a16="http://schemas.microsoft.com/office/drawing/2014/main" id="{BF33F40B-7026-57E8-0832-E0391A825FA8}"/>
            </a:ext>
          </a:extLst>
        </xdr:cNvPr>
        <xdr:cNvSpPr/>
      </xdr:nvSpPr>
      <xdr:spPr>
        <a:xfrm>
          <a:off x="3647378" y="11050383"/>
          <a:ext cx="5981850" cy="4273235"/>
        </a:xfrm>
        <a:prstGeom prst="roundRect">
          <a:avLst>
            <a:gd name="adj" fmla="val 1014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23232</xdr:colOff>
      <xdr:row>22</xdr:row>
      <xdr:rowOff>136070</xdr:rowOff>
    </xdr:from>
    <xdr:to>
      <xdr:col>16</xdr:col>
      <xdr:colOff>92927</xdr:colOff>
      <xdr:row>58</xdr:row>
      <xdr:rowOff>111109</xdr:rowOff>
    </xdr:to>
    <xdr:sp macro="" textlink="">
      <xdr:nvSpPr>
        <xdr:cNvPr id="4" name="Rectangle: Rounded Corners 3">
          <a:extLst>
            <a:ext uri="{FF2B5EF4-FFF2-40B4-BE49-F238E27FC236}">
              <a16:creationId xmlns:a16="http://schemas.microsoft.com/office/drawing/2014/main" id="{4613200A-00F8-4359-B87D-B28A68913048}"/>
            </a:ext>
          </a:extLst>
        </xdr:cNvPr>
        <xdr:cNvSpPr/>
      </xdr:nvSpPr>
      <xdr:spPr>
        <a:xfrm>
          <a:off x="3697161" y="4127499"/>
          <a:ext cx="6192909" cy="6506467"/>
        </a:xfrm>
        <a:prstGeom prst="roundRect">
          <a:avLst>
            <a:gd name="adj" fmla="val 6362"/>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154258</xdr:colOff>
      <xdr:row>53</xdr:row>
      <xdr:rowOff>29679</xdr:rowOff>
    </xdr:from>
    <xdr:to>
      <xdr:col>25</xdr:col>
      <xdr:colOff>346588</xdr:colOff>
      <xdr:row>82</xdr:row>
      <xdr:rowOff>95700</xdr:rowOff>
    </xdr:to>
    <xdr:sp macro="" textlink="">
      <xdr:nvSpPr>
        <xdr:cNvPr id="5" name="Rectangle: Rounded Corners 4">
          <a:extLst>
            <a:ext uri="{FF2B5EF4-FFF2-40B4-BE49-F238E27FC236}">
              <a16:creationId xmlns:a16="http://schemas.microsoft.com/office/drawing/2014/main" id="{7F255310-343E-43C9-800D-949FC209FC19}"/>
            </a:ext>
          </a:extLst>
        </xdr:cNvPr>
        <xdr:cNvSpPr/>
      </xdr:nvSpPr>
      <xdr:spPr>
        <a:xfrm>
          <a:off x="9818648" y="9879923"/>
          <a:ext cx="5628550" cy="5455777"/>
        </a:xfrm>
        <a:prstGeom prst="roundRect">
          <a:avLst>
            <a:gd name="adj" fmla="val 1361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174239</xdr:colOff>
      <xdr:row>22</xdr:row>
      <xdr:rowOff>22678</xdr:rowOff>
    </xdr:from>
    <xdr:to>
      <xdr:col>35</xdr:col>
      <xdr:colOff>299783</xdr:colOff>
      <xdr:row>50</xdr:row>
      <xdr:rowOff>173228</xdr:rowOff>
    </xdr:to>
    <xdr:sp macro="" textlink="">
      <xdr:nvSpPr>
        <xdr:cNvPr id="7" name="Rectangle: Rounded Corners 6">
          <a:extLst>
            <a:ext uri="{FF2B5EF4-FFF2-40B4-BE49-F238E27FC236}">
              <a16:creationId xmlns:a16="http://schemas.microsoft.com/office/drawing/2014/main" id="{36DF945F-52EB-4D84-B865-4944D3661E89}"/>
            </a:ext>
          </a:extLst>
        </xdr:cNvPr>
        <xdr:cNvSpPr/>
      </xdr:nvSpPr>
      <xdr:spPr>
        <a:xfrm>
          <a:off x="15482275" y="4014107"/>
          <a:ext cx="6248758" cy="5230550"/>
        </a:xfrm>
        <a:prstGeom prst="roundRect">
          <a:avLst>
            <a:gd name="adj" fmla="val 5675"/>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185853</xdr:colOff>
      <xdr:row>22</xdr:row>
      <xdr:rowOff>68035</xdr:rowOff>
    </xdr:from>
    <xdr:to>
      <xdr:col>25</xdr:col>
      <xdr:colOff>125011</xdr:colOff>
      <xdr:row>37</xdr:row>
      <xdr:rowOff>162622</xdr:rowOff>
    </xdr:to>
    <xdr:sp macro="" textlink="">
      <xdr:nvSpPr>
        <xdr:cNvPr id="8" name="Rectangle: Rounded Corners 7">
          <a:extLst>
            <a:ext uri="{FF2B5EF4-FFF2-40B4-BE49-F238E27FC236}">
              <a16:creationId xmlns:a16="http://schemas.microsoft.com/office/drawing/2014/main" id="{03961995-E45C-4FCE-997F-58C4581F0D98}"/>
            </a:ext>
          </a:extLst>
        </xdr:cNvPr>
        <xdr:cNvSpPr/>
      </xdr:nvSpPr>
      <xdr:spPr>
        <a:xfrm>
          <a:off x="9982996" y="4059464"/>
          <a:ext cx="5450051" cy="2816015"/>
        </a:xfrm>
        <a:prstGeom prst="roundRect">
          <a:avLst>
            <a:gd name="adj" fmla="val 15070"/>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255548</xdr:colOff>
      <xdr:row>38</xdr:row>
      <xdr:rowOff>70565</xdr:rowOff>
    </xdr:from>
    <xdr:to>
      <xdr:col>20</xdr:col>
      <xdr:colOff>424557</xdr:colOff>
      <xdr:row>52</xdr:row>
      <xdr:rowOff>173227</xdr:rowOff>
    </xdr:to>
    <xdr:sp macro="" textlink="">
      <xdr:nvSpPr>
        <xdr:cNvPr id="9" name="Rectangle: Rounded Corners 8">
          <a:extLst>
            <a:ext uri="{FF2B5EF4-FFF2-40B4-BE49-F238E27FC236}">
              <a16:creationId xmlns:a16="http://schemas.microsoft.com/office/drawing/2014/main" id="{3E4E7A8B-7535-4462-A6B2-8FB9F863BCE1}"/>
            </a:ext>
          </a:extLst>
        </xdr:cNvPr>
        <xdr:cNvSpPr/>
      </xdr:nvSpPr>
      <xdr:spPr>
        <a:xfrm>
          <a:off x="9919938" y="7133004"/>
          <a:ext cx="2585107" cy="2704613"/>
        </a:xfrm>
        <a:prstGeom prst="roundRect">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467662</xdr:colOff>
      <xdr:row>38</xdr:row>
      <xdr:rowOff>49705</xdr:rowOff>
    </xdr:from>
    <xdr:to>
      <xdr:col>25</xdr:col>
      <xdr:colOff>101736</xdr:colOff>
      <xdr:row>52</xdr:row>
      <xdr:rowOff>173228</xdr:rowOff>
    </xdr:to>
    <xdr:sp macro="" textlink="">
      <xdr:nvSpPr>
        <xdr:cNvPr id="10" name="Rectangle: Rounded Corners 9">
          <a:extLst>
            <a:ext uri="{FF2B5EF4-FFF2-40B4-BE49-F238E27FC236}">
              <a16:creationId xmlns:a16="http://schemas.microsoft.com/office/drawing/2014/main" id="{ADE26FC0-3422-4393-8166-9B24B8E443DB}"/>
            </a:ext>
          </a:extLst>
        </xdr:cNvPr>
        <xdr:cNvSpPr/>
      </xdr:nvSpPr>
      <xdr:spPr>
        <a:xfrm>
          <a:off x="12548150" y="7112144"/>
          <a:ext cx="2654196" cy="2725474"/>
        </a:xfrm>
        <a:prstGeom prst="roundRect">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46462</xdr:colOff>
      <xdr:row>68</xdr:row>
      <xdr:rowOff>871</xdr:rowOff>
    </xdr:from>
    <xdr:to>
      <xdr:col>39</xdr:col>
      <xdr:colOff>400135</xdr:colOff>
      <xdr:row>82</xdr:row>
      <xdr:rowOff>103534</xdr:rowOff>
    </xdr:to>
    <xdr:sp macro="" textlink="">
      <xdr:nvSpPr>
        <xdr:cNvPr id="11" name="Rectangle: Rounded Corners 10">
          <a:extLst>
            <a:ext uri="{FF2B5EF4-FFF2-40B4-BE49-F238E27FC236}">
              <a16:creationId xmlns:a16="http://schemas.microsoft.com/office/drawing/2014/main" id="{F50FECB2-0CD9-48F9-831E-2DE8F8CA2828}"/>
            </a:ext>
          </a:extLst>
        </xdr:cNvPr>
        <xdr:cNvSpPr/>
      </xdr:nvSpPr>
      <xdr:spPr>
        <a:xfrm>
          <a:off x="21187316" y="12638920"/>
          <a:ext cx="2769770" cy="2704614"/>
        </a:xfrm>
        <a:prstGeom prst="roundRect">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511098</xdr:colOff>
      <xdr:row>24</xdr:row>
      <xdr:rowOff>116158</xdr:rowOff>
    </xdr:from>
    <xdr:to>
      <xdr:col>49</xdr:col>
      <xdr:colOff>302013</xdr:colOff>
      <xdr:row>48</xdr:row>
      <xdr:rowOff>180802</xdr:rowOff>
    </xdr:to>
    <xdr:sp macro="" textlink="">
      <xdr:nvSpPr>
        <xdr:cNvPr id="12" name="Rectangle: Rounded Corners 11">
          <a:extLst>
            <a:ext uri="{FF2B5EF4-FFF2-40B4-BE49-F238E27FC236}">
              <a16:creationId xmlns:a16="http://schemas.microsoft.com/office/drawing/2014/main" id="{4BB16ED9-0739-41BA-802B-33F3B0756889}"/>
            </a:ext>
          </a:extLst>
        </xdr:cNvPr>
        <xdr:cNvSpPr/>
      </xdr:nvSpPr>
      <xdr:spPr>
        <a:xfrm>
          <a:off x="21942348" y="4470444"/>
          <a:ext cx="8363415" cy="4418929"/>
        </a:xfrm>
        <a:prstGeom prst="roundRect">
          <a:avLst>
            <a:gd name="adj" fmla="val 8812"/>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534454</xdr:colOff>
      <xdr:row>51</xdr:row>
      <xdr:rowOff>180450</xdr:rowOff>
    </xdr:from>
    <xdr:to>
      <xdr:col>50</xdr:col>
      <xdr:colOff>93193</xdr:colOff>
      <xdr:row>67</xdr:row>
      <xdr:rowOff>77776</xdr:rowOff>
    </xdr:to>
    <xdr:graphicFrame macro="">
      <xdr:nvGraphicFramePr>
        <xdr:cNvPr id="82" name="Chart 81">
          <a:extLst>
            <a:ext uri="{FF2B5EF4-FFF2-40B4-BE49-F238E27FC236}">
              <a16:creationId xmlns:a16="http://schemas.microsoft.com/office/drawing/2014/main" id="{FD499446-8FC5-45FF-97D3-5E17A6D69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339567</xdr:colOff>
      <xdr:row>69</xdr:row>
      <xdr:rowOff>29212</xdr:rowOff>
    </xdr:from>
    <xdr:to>
      <xdr:col>39</xdr:col>
      <xdr:colOff>190226</xdr:colOff>
      <xdr:row>71</xdr:row>
      <xdr:rowOff>71442</xdr:rowOff>
    </xdr:to>
    <xdr:sp macro="" textlink="">
      <xdr:nvSpPr>
        <xdr:cNvPr id="95" name="Oval 94">
          <a:extLst>
            <a:ext uri="{FF2B5EF4-FFF2-40B4-BE49-F238E27FC236}">
              <a16:creationId xmlns:a16="http://schemas.microsoft.com/office/drawing/2014/main" id="{65058A0C-5595-4A4C-AA60-AEA3BBEB4ACA}"/>
            </a:ext>
          </a:extLst>
        </xdr:cNvPr>
        <xdr:cNvSpPr/>
      </xdr:nvSpPr>
      <xdr:spPr>
        <a:xfrm>
          <a:off x="23292494" y="12853114"/>
          <a:ext cx="454683" cy="413938"/>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364132</xdr:colOff>
      <xdr:row>61</xdr:row>
      <xdr:rowOff>126581</xdr:rowOff>
    </xdr:from>
    <xdr:to>
      <xdr:col>25</xdr:col>
      <xdr:colOff>127435</xdr:colOff>
      <xdr:row>80</xdr:row>
      <xdr:rowOff>131814</xdr:rowOff>
    </xdr:to>
    <xdr:graphicFrame macro="">
      <xdr:nvGraphicFramePr>
        <xdr:cNvPr id="178" name="Chart 177">
          <a:extLst>
            <a:ext uri="{FF2B5EF4-FFF2-40B4-BE49-F238E27FC236}">
              <a16:creationId xmlns:a16="http://schemas.microsoft.com/office/drawing/2014/main" id="{FF49201C-8264-499F-BEBC-76B259A25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78144</xdr:colOff>
      <xdr:row>53</xdr:row>
      <xdr:rowOff>149161</xdr:rowOff>
    </xdr:from>
    <xdr:to>
      <xdr:col>25</xdr:col>
      <xdr:colOff>328868</xdr:colOff>
      <xdr:row>57</xdr:row>
      <xdr:rowOff>23231</xdr:rowOff>
    </xdr:to>
    <xdr:sp macro="" textlink="">
      <xdr:nvSpPr>
        <xdr:cNvPr id="179" name="Rectangle: Rounded Corners 178">
          <a:extLst>
            <a:ext uri="{FF2B5EF4-FFF2-40B4-BE49-F238E27FC236}">
              <a16:creationId xmlns:a16="http://schemas.microsoft.com/office/drawing/2014/main" id="{59AC0784-AB93-4778-82F5-07D9573AEBAD}"/>
            </a:ext>
          </a:extLst>
        </xdr:cNvPr>
        <xdr:cNvSpPr/>
      </xdr:nvSpPr>
      <xdr:spPr>
        <a:xfrm>
          <a:off x="10346559" y="9999405"/>
          <a:ext cx="5082919" cy="6174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a:solidFill>
                <a:srgbClr val="E5B244"/>
              </a:solidFill>
            </a:rPr>
            <a:t>Age</a:t>
          </a:r>
          <a:r>
            <a:rPr lang="en-US" sz="3200" b="1" i="0" baseline="0">
              <a:solidFill>
                <a:srgbClr val="E5B244"/>
              </a:solidFill>
            </a:rPr>
            <a:t> Range</a:t>
          </a:r>
          <a:endParaRPr lang="en-US" sz="3200" b="1" i="0">
            <a:solidFill>
              <a:srgbClr val="E5B244"/>
            </a:solidFill>
          </a:endParaRPr>
        </a:p>
      </xdr:txBody>
    </xdr:sp>
    <xdr:clientData/>
  </xdr:twoCellAnchor>
  <xdr:twoCellAnchor>
    <xdr:from>
      <xdr:col>16</xdr:col>
      <xdr:colOff>384380</xdr:colOff>
      <xdr:row>57</xdr:row>
      <xdr:rowOff>6332</xdr:rowOff>
    </xdr:from>
    <xdr:to>
      <xdr:col>25</xdr:col>
      <xdr:colOff>12609</xdr:colOff>
      <xdr:row>62</xdr:row>
      <xdr:rowOff>90401</xdr:rowOff>
    </xdr:to>
    <xdr:sp macro="" textlink="">
      <xdr:nvSpPr>
        <xdr:cNvPr id="180" name="Rectangle: Rounded Corners 179">
          <a:extLst>
            <a:ext uri="{FF2B5EF4-FFF2-40B4-BE49-F238E27FC236}">
              <a16:creationId xmlns:a16="http://schemas.microsoft.com/office/drawing/2014/main" id="{EB3A7624-8A43-4984-B9C0-549A6709ED64}"/>
            </a:ext>
          </a:extLst>
        </xdr:cNvPr>
        <xdr:cNvSpPr/>
      </xdr:nvSpPr>
      <xdr:spPr>
        <a:xfrm>
          <a:off x="10048770" y="10599991"/>
          <a:ext cx="5064449" cy="10133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2"/>
              </a:solidFill>
            </a:rPr>
            <a:t>No</a:t>
          </a:r>
          <a:r>
            <a:rPr lang="en-US" sz="2400" b="1" baseline="0">
              <a:solidFill>
                <a:schemeClr val="bg2"/>
              </a:solidFill>
            </a:rPr>
            <a:t>  of employees according to age ranges and genders </a:t>
          </a:r>
          <a:endParaRPr lang="en-US" sz="2400" b="1">
            <a:solidFill>
              <a:schemeClr val="bg2"/>
            </a:solidFill>
          </a:endParaRPr>
        </a:p>
      </xdr:txBody>
    </xdr:sp>
    <xdr:clientData/>
  </xdr:twoCellAnchor>
  <xdr:twoCellAnchor>
    <xdr:from>
      <xdr:col>23</xdr:col>
      <xdr:colOff>314367</xdr:colOff>
      <xdr:row>59</xdr:row>
      <xdr:rowOff>128029</xdr:rowOff>
    </xdr:from>
    <xdr:to>
      <xdr:col>25</xdr:col>
      <xdr:colOff>181688</xdr:colOff>
      <xdr:row>62</xdr:row>
      <xdr:rowOff>49494</xdr:rowOff>
    </xdr:to>
    <xdr:sp macro="" textlink="">
      <xdr:nvSpPr>
        <xdr:cNvPr id="14" name="Rectangle: Rounded Corners 13">
          <a:extLst>
            <a:ext uri="{FF2B5EF4-FFF2-40B4-BE49-F238E27FC236}">
              <a16:creationId xmlns:a16="http://schemas.microsoft.com/office/drawing/2014/main" id="{9AE1EC60-38F9-494D-A5E1-C800413E0CA1}"/>
            </a:ext>
          </a:extLst>
        </xdr:cNvPr>
        <xdr:cNvSpPr/>
      </xdr:nvSpPr>
      <xdr:spPr>
        <a:xfrm>
          <a:off x="14206928" y="11093395"/>
          <a:ext cx="1075370" cy="47902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t>Male</a:t>
          </a:r>
          <a:endParaRPr lang="en-US" sz="1400" b="1"/>
        </a:p>
      </xdr:txBody>
    </xdr:sp>
    <xdr:clientData/>
  </xdr:twoCellAnchor>
  <xdr:twoCellAnchor>
    <xdr:from>
      <xdr:col>23</xdr:col>
      <xdr:colOff>375417</xdr:colOff>
      <xdr:row>60</xdr:row>
      <xdr:rowOff>39086</xdr:rowOff>
    </xdr:from>
    <xdr:to>
      <xdr:col>24</xdr:col>
      <xdr:colOff>13723</xdr:colOff>
      <xdr:row>61</xdr:row>
      <xdr:rowOff>57370</xdr:rowOff>
    </xdr:to>
    <xdr:sp macro="" textlink="">
      <xdr:nvSpPr>
        <xdr:cNvPr id="15" name="Oval 14">
          <a:extLst>
            <a:ext uri="{FF2B5EF4-FFF2-40B4-BE49-F238E27FC236}">
              <a16:creationId xmlns:a16="http://schemas.microsoft.com/office/drawing/2014/main" id="{AB405879-BA60-4AA4-B110-AF014543A556}"/>
            </a:ext>
          </a:extLst>
        </xdr:cNvPr>
        <xdr:cNvSpPr/>
      </xdr:nvSpPr>
      <xdr:spPr>
        <a:xfrm>
          <a:off x="14267978" y="11190306"/>
          <a:ext cx="242330" cy="20413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118635</xdr:colOff>
      <xdr:row>59</xdr:row>
      <xdr:rowOff>88182</xdr:rowOff>
    </xdr:from>
    <xdr:to>
      <xdr:col>23</xdr:col>
      <xdr:colOff>239911</xdr:colOff>
      <xdr:row>61</xdr:row>
      <xdr:rowOff>146802</xdr:rowOff>
    </xdr:to>
    <xdr:sp macro="" textlink="">
      <xdr:nvSpPr>
        <xdr:cNvPr id="16" name="Rectangle: Rounded Corners 15">
          <a:extLst>
            <a:ext uri="{FF2B5EF4-FFF2-40B4-BE49-F238E27FC236}">
              <a16:creationId xmlns:a16="http://schemas.microsoft.com/office/drawing/2014/main" id="{7FCB1F69-83D5-4431-8659-552E07005950}"/>
            </a:ext>
          </a:extLst>
        </xdr:cNvPr>
        <xdr:cNvSpPr/>
      </xdr:nvSpPr>
      <xdr:spPr>
        <a:xfrm>
          <a:off x="12803147" y="11053548"/>
          <a:ext cx="1329325" cy="4303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rgbClr val="E5B244"/>
              </a:solidFill>
            </a:rPr>
            <a:t>Fe</a:t>
          </a:r>
          <a:r>
            <a:rPr lang="en-US" sz="1800" b="1">
              <a:solidFill>
                <a:srgbClr val="E5B244"/>
              </a:solidFill>
            </a:rPr>
            <a:t>Males</a:t>
          </a:r>
          <a:endParaRPr lang="en-US" sz="1400" b="1">
            <a:solidFill>
              <a:srgbClr val="E5B244"/>
            </a:solidFill>
          </a:endParaRPr>
        </a:p>
      </xdr:txBody>
    </xdr:sp>
    <xdr:clientData/>
  </xdr:twoCellAnchor>
  <xdr:twoCellAnchor>
    <xdr:from>
      <xdr:col>21</xdr:col>
      <xdr:colOff>170211</xdr:colOff>
      <xdr:row>60</xdr:row>
      <xdr:rowOff>24504</xdr:rowOff>
    </xdr:from>
    <xdr:to>
      <xdr:col>21</xdr:col>
      <xdr:colOff>437229</xdr:colOff>
      <xdr:row>61</xdr:row>
      <xdr:rowOff>80650</xdr:rowOff>
    </xdr:to>
    <xdr:sp macro="" textlink="">
      <xdr:nvSpPr>
        <xdr:cNvPr id="17" name="Oval 16">
          <a:extLst>
            <a:ext uri="{FF2B5EF4-FFF2-40B4-BE49-F238E27FC236}">
              <a16:creationId xmlns:a16="http://schemas.microsoft.com/office/drawing/2014/main" id="{38BA548A-337F-4ADC-84B9-69B62A715B04}"/>
            </a:ext>
          </a:extLst>
        </xdr:cNvPr>
        <xdr:cNvSpPr/>
      </xdr:nvSpPr>
      <xdr:spPr>
        <a:xfrm>
          <a:off x="12854723" y="11175724"/>
          <a:ext cx="267018" cy="241999"/>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468388</xdr:colOff>
      <xdr:row>51</xdr:row>
      <xdr:rowOff>88785</xdr:rowOff>
    </xdr:from>
    <xdr:to>
      <xdr:col>34</xdr:col>
      <xdr:colOff>526437</xdr:colOff>
      <xdr:row>83</xdr:row>
      <xdr:rowOff>8081</xdr:rowOff>
    </xdr:to>
    <xdr:sp macro="" textlink="">
      <xdr:nvSpPr>
        <xdr:cNvPr id="30" name="Rectangle: Rounded Corners 29">
          <a:extLst>
            <a:ext uri="{FF2B5EF4-FFF2-40B4-BE49-F238E27FC236}">
              <a16:creationId xmlns:a16="http://schemas.microsoft.com/office/drawing/2014/main" id="{0680FB6B-0BEF-1CFF-2BE6-FFBDC4BA4015}"/>
            </a:ext>
          </a:extLst>
        </xdr:cNvPr>
        <xdr:cNvSpPr/>
      </xdr:nvSpPr>
      <xdr:spPr>
        <a:xfrm>
          <a:off x="15568998" y="9567322"/>
          <a:ext cx="5494268" cy="5866613"/>
        </a:xfrm>
        <a:prstGeom prst="roundRect">
          <a:avLst>
            <a:gd name="adj" fmla="val 14697"/>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25</xdr:col>
      <xdr:colOff>595825</xdr:colOff>
      <xdr:row>58</xdr:row>
      <xdr:rowOff>143751</xdr:rowOff>
    </xdr:from>
    <xdr:to>
      <xdr:col>30</xdr:col>
      <xdr:colOff>21713</xdr:colOff>
      <xdr:row>60</xdr:row>
      <xdr:rowOff>169065</xdr:rowOff>
    </xdr:to>
    <xdr:sp macro="" textlink="">
      <xdr:nvSpPr>
        <xdr:cNvPr id="31" name="TextBox 30">
          <a:extLst>
            <a:ext uri="{FF2B5EF4-FFF2-40B4-BE49-F238E27FC236}">
              <a16:creationId xmlns:a16="http://schemas.microsoft.com/office/drawing/2014/main" id="{B6D59F27-1243-2CB9-60FC-3B8ADD9956E7}"/>
            </a:ext>
          </a:extLst>
        </xdr:cNvPr>
        <xdr:cNvSpPr txBox="1"/>
      </xdr:nvSpPr>
      <xdr:spPr>
        <a:xfrm>
          <a:off x="15696435" y="10923263"/>
          <a:ext cx="2446010" cy="3970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400" b="1">
              <a:solidFill>
                <a:schemeClr val="lt1"/>
              </a:solidFill>
              <a:latin typeface="+mn-lt"/>
              <a:ea typeface="+mn-ea"/>
              <a:cs typeface="+mn-cs"/>
            </a:rPr>
            <a:t>Total Salaries </a:t>
          </a:r>
        </a:p>
      </xdr:txBody>
    </xdr:sp>
    <xdr:clientData/>
  </xdr:twoCellAnchor>
  <xdr:twoCellAnchor>
    <xdr:from>
      <xdr:col>25</xdr:col>
      <xdr:colOff>587103</xdr:colOff>
      <xdr:row>61</xdr:row>
      <xdr:rowOff>171935</xdr:rowOff>
    </xdr:from>
    <xdr:to>
      <xdr:col>29</xdr:col>
      <xdr:colOff>569587</xdr:colOff>
      <xdr:row>64</xdr:row>
      <xdr:rowOff>112304</xdr:rowOff>
    </xdr:to>
    <xdr:sp macro="" textlink="">
      <xdr:nvSpPr>
        <xdr:cNvPr id="32" name="TextBox 31">
          <a:extLst>
            <a:ext uri="{FF2B5EF4-FFF2-40B4-BE49-F238E27FC236}">
              <a16:creationId xmlns:a16="http://schemas.microsoft.com/office/drawing/2014/main" id="{B33F3279-BAA2-1F00-C839-B02618BD6C4C}"/>
            </a:ext>
          </a:extLst>
        </xdr:cNvPr>
        <xdr:cNvSpPr txBox="1"/>
      </xdr:nvSpPr>
      <xdr:spPr>
        <a:xfrm>
          <a:off x="15687713" y="11509008"/>
          <a:ext cx="2398581" cy="4979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3200" b="1">
              <a:solidFill>
                <a:schemeClr val="lt1"/>
              </a:solidFill>
              <a:latin typeface="+mn-lt"/>
              <a:ea typeface="+mn-ea"/>
              <a:cs typeface="+mn-cs"/>
            </a:rPr>
            <a:t>Analyst</a:t>
          </a:r>
          <a:r>
            <a:rPr lang="en-US" sz="1600">
              <a:solidFill>
                <a:schemeClr val="lt1"/>
              </a:solidFill>
              <a:latin typeface="+mn-lt"/>
              <a:ea typeface="+mn-ea"/>
              <a:cs typeface="+mn-cs"/>
            </a:rPr>
            <a:t> </a:t>
          </a:r>
        </a:p>
      </xdr:txBody>
    </xdr:sp>
    <xdr:clientData/>
  </xdr:twoCellAnchor>
  <xdr:twoCellAnchor>
    <xdr:from>
      <xdr:col>26</xdr:col>
      <xdr:colOff>6097</xdr:colOff>
      <xdr:row>66</xdr:row>
      <xdr:rowOff>20725</xdr:rowOff>
    </xdr:from>
    <xdr:to>
      <xdr:col>29</xdr:col>
      <xdr:colOff>545877</xdr:colOff>
      <xdr:row>68</xdr:row>
      <xdr:rowOff>174386</xdr:rowOff>
    </xdr:to>
    <xdr:sp macro="" textlink="">
      <xdr:nvSpPr>
        <xdr:cNvPr id="33" name="TextBox 32">
          <a:extLst>
            <a:ext uri="{FF2B5EF4-FFF2-40B4-BE49-F238E27FC236}">
              <a16:creationId xmlns:a16="http://schemas.microsoft.com/office/drawing/2014/main" id="{CB099219-3A25-9BB5-E47B-02EDE7C4B853}"/>
            </a:ext>
          </a:extLst>
        </xdr:cNvPr>
        <xdr:cNvSpPr txBox="1"/>
      </xdr:nvSpPr>
      <xdr:spPr>
        <a:xfrm>
          <a:off x="15710731" y="12287066"/>
          <a:ext cx="2351853" cy="5253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b="1">
              <a:solidFill>
                <a:schemeClr val="lt1"/>
              </a:solidFill>
              <a:latin typeface="+mn-lt"/>
              <a:ea typeface="+mn-ea"/>
              <a:cs typeface="+mn-cs"/>
            </a:rPr>
            <a:t>Designer</a:t>
          </a:r>
          <a:r>
            <a:rPr lang="en-US" sz="1100">
              <a:solidFill>
                <a:schemeClr val="lt1"/>
              </a:solidFill>
              <a:latin typeface="+mn-lt"/>
              <a:ea typeface="+mn-ea"/>
              <a:cs typeface="+mn-cs"/>
            </a:rPr>
            <a:t> </a:t>
          </a:r>
        </a:p>
      </xdr:txBody>
    </xdr:sp>
    <xdr:clientData/>
  </xdr:twoCellAnchor>
  <xdr:twoCellAnchor>
    <xdr:from>
      <xdr:col>26</xdr:col>
      <xdr:colOff>8079</xdr:colOff>
      <xdr:row>70</xdr:row>
      <xdr:rowOff>19739</xdr:rowOff>
    </xdr:from>
    <xdr:to>
      <xdr:col>29</xdr:col>
      <xdr:colOff>532870</xdr:colOff>
      <xdr:row>72</xdr:row>
      <xdr:rowOff>134731</xdr:rowOff>
    </xdr:to>
    <xdr:sp macro="" textlink="">
      <xdr:nvSpPr>
        <xdr:cNvPr id="34" name="TextBox 33">
          <a:extLst>
            <a:ext uri="{FF2B5EF4-FFF2-40B4-BE49-F238E27FC236}">
              <a16:creationId xmlns:a16="http://schemas.microsoft.com/office/drawing/2014/main" id="{CC45CD43-E4AE-D588-05C0-BDF99B82CFC1}"/>
            </a:ext>
          </a:extLst>
        </xdr:cNvPr>
        <xdr:cNvSpPr txBox="1"/>
      </xdr:nvSpPr>
      <xdr:spPr>
        <a:xfrm>
          <a:off x="15712713" y="13029495"/>
          <a:ext cx="2336864" cy="4866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b="1">
              <a:solidFill>
                <a:schemeClr val="lt1"/>
              </a:solidFill>
              <a:latin typeface="+mn-lt"/>
              <a:ea typeface="+mn-ea"/>
              <a:cs typeface="+mn-cs"/>
            </a:rPr>
            <a:t>Developer</a:t>
          </a:r>
          <a:r>
            <a:rPr lang="en-US" sz="1100">
              <a:solidFill>
                <a:schemeClr val="lt1"/>
              </a:solidFill>
              <a:latin typeface="+mn-lt"/>
              <a:ea typeface="+mn-ea"/>
              <a:cs typeface="+mn-cs"/>
            </a:rPr>
            <a:t> </a:t>
          </a:r>
        </a:p>
      </xdr:txBody>
    </xdr:sp>
    <xdr:clientData/>
  </xdr:twoCellAnchor>
  <xdr:twoCellAnchor>
    <xdr:from>
      <xdr:col>26</xdr:col>
      <xdr:colOff>5647</xdr:colOff>
      <xdr:row>74</xdr:row>
      <xdr:rowOff>15548</xdr:rowOff>
    </xdr:from>
    <xdr:to>
      <xdr:col>29</xdr:col>
      <xdr:colOff>535751</xdr:colOff>
      <xdr:row>76</xdr:row>
      <xdr:rowOff>143219</xdr:rowOff>
    </xdr:to>
    <xdr:sp macro="" textlink="">
      <xdr:nvSpPr>
        <xdr:cNvPr id="35" name="TextBox 34">
          <a:extLst>
            <a:ext uri="{FF2B5EF4-FFF2-40B4-BE49-F238E27FC236}">
              <a16:creationId xmlns:a16="http://schemas.microsoft.com/office/drawing/2014/main" id="{41C17EFF-8A8C-95E9-3F9D-6CB5D7D3650C}"/>
            </a:ext>
          </a:extLst>
        </xdr:cNvPr>
        <xdr:cNvSpPr txBox="1"/>
      </xdr:nvSpPr>
      <xdr:spPr>
        <a:xfrm>
          <a:off x="15710281" y="13768719"/>
          <a:ext cx="2342177" cy="4993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b="1">
              <a:solidFill>
                <a:schemeClr val="lt1"/>
              </a:solidFill>
              <a:latin typeface="+mn-lt"/>
              <a:ea typeface="+mn-ea"/>
              <a:cs typeface="+mn-cs"/>
            </a:rPr>
            <a:t>HR</a:t>
          </a:r>
          <a:r>
            <a:rPr lang="en-US" sz="1400" b="1">
              <a:solidFill>
                <a:schemeClr val="lt1"/>
              </a:solidFill>
              <a:latin typeface="+mn-lt"/>
              <a:ea typeface="+mn-ea"/>
              <a:cs typeface="+mn-cs"/>
            </a:rPr>
            <a:t> </a:t>
          </a:r>
          <a:r>
            <a:rPr lang="en-US" sz="2800" b="1">
              <a:solidFill>
                <a:schemeClr val="lt1"/>
              </a:solidFill>
              <a:latin typeface="+mn-lt"/>
              <a:ea typeface="+mn-ea"/>
              <a:cs typeface="+mn-cs"/>
            </a:rPr>
            <a:t>Specialist</a:t>
          </a:r>
          <a:r>
            <a:rPr lang="en-US" sz="1400" b="1">
              <a:solidFill>
                <a:schemeClr val="lt1"/>
              </a:solidFill>
              <a:latin typeface="+mn-lt"/>
              <a:ea typeface="+mn-ea"/>
              <a:cs typeface="+mn-cs"/>
            </a:rPr>
            <a:t> </a:t>
          </a:r>
        </a:p>
      </xdr:txBody>
    </xdr:sp>
    <xdr:clientData/>
  </xdr:twoCellAnchor>
  <xdr:twoCellAnchor>
    <xdr:from>
      <xdr:col>26</xdr:col>
      <xdr:colOff>21446</xdr:colOff>
      <xdr:row>77</xdr:row>
      <xdr:rowOff>157564</xdr:rowOff>
    </xdr:from>
    <xdr:to>
      <xdr:col>29</xdr:col>
      <xdr:colOff>563988</xdr:colOff>
      <xdr:row>80</xdr:row>
      <xdr:rowOff>74930</xdr:rowOff>
    </xdr:to>
    <xdr:sp macro="" textlink="">
      <xdr:nvSpPr>
        <xdr:cNvPr id="36" name="TextBox 35">
          <a:extLst>
            <a:ext uri="{FF2B5EF4-FFF2-40B4-BE49-F238E27FC236}">
              <a16:creationId xmlns:a16="http://schemas.microsoft.com/office/drawing/2014/main" id="{5363D934-28C3-9F52-1EDA-79B52E836B36}"/>
            </a:ext>
          </a:extLst>
        </xdr:cNvPr>
        <xdr:cNvSpPr txBox="1"/>
      </xdr:nvSpPr>
      <xdr:spPr>
        <a:xfrm>
          <a:off x="15726080" y="14468296"/>
          <a:ext cx="2354615" cy="4749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b="1">
              <a:solidFill>
                <a:schemeClr val="lt1"/>
              </a:solidFill>
              <a:latin typeface="+mn-lt"/>
              <a:ea typeface="+mn-ea"/>
              <a:cs typeface="+mn-cs"/>
            </a:rPr>
            <a:t>Manager</a:t>
          </a:r>
          <a:r>
            <a:rPr lang="en-US" sz="1100">
              <a:solidFill>
                <a:schemeClr val="lt1"/>
              </a:solidFill>
              <a:latin typeface="+mn-lt"/>
              <a:ea typeface="+mn-ea"/>
              <a:cs typeface="+mn-cs"/>
            </a:rPr>
            <a:t> </a:t>
          </a:r>
        </a:p>
      </xdr:txBody>
    </xdr:sp>
    <xdr:clientData/>
  </xdr:twoCellAnchor>
  <xdr:twoCellAnchor>
    <xdr:from>
      <xdr:col>30</xdr:col>
      <xdr:colOff>463143</xdr:colOff>
      <xdr:row>58</xdr:row>
      <xdr:rowOff>165007</xdr:rowOff>
    </xdr:from>
    <xdr:to>
      <xdr:col>33</xdr:col>
      <xdr:colOff>463996</xdr:colOff>
      <xdr:row>61</xdr:row>
      <xdr:rowOff>141412</xdr:rowOff>
    </xdr:to>
    <xdr:sp macro="" textlink="PivotTable!G18">
      <xdr:nvSpPr>
        <xdr:cNvPr id="37" name="TextBox 36">
          <a:extLst>
            <a:ext uri="{FF2B5EF4-FFF2-40B4-BE49-F238E27FC236}">
              <a16:creationId xmlns:a16="http://schemas.microsoft.com/office/drawing/2014/main" id="{078860B0-BEEB-2C5B-56FF-30E163BC5CAD}"/>
            </a:ext>
          </a:extLst>
        </xdr:cNvPr>
        <xdr:cNvSpPr txBox="1"/>
      </xdr:nvSpPr>
      <xdr:spPr>
        <a:xfrm>
          <a:off x="18583875" y="10944519"/>
          <a:ext cx="1812926" cy="533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E730173-F3BD-49F8-AAFE-05D47397DA7B}" type="TxLink">
            <a:rPr lang="en-US" sz="2800" b="1" i="0" u="none" strike="noStrike" baseline="0">
              <a:solidFill>
                <a:schemeClr val="bg1"/>
              </a:solidFill>
              <a:latin typeface="Aptos Narrow"/>
            </a:rPr>
            <a:pPr algn="r"/>
            <a:t> 3,104,913 </a:t>
          </a:fld>
          <a:endParaRPr lang="en-US" b="1" baseline="0">
            <a:solidFill>
              <a:schemeClr val="bg1"/>
            </a:solidFill>
          </a:endParaRPr>
        </a:p>
      </xdr:txBody>
    </xdr:sp>
    <xdr:clientData/>
  </xdr:twoCellAnchor>
  <xdr:twoCellAnchor>
    <xdr:from>
      <xdr:col>30</xdr:col>
      <xdr:colOff>373755</xdr:colOff>
      <xdr:row>62</xdr:row>
      <xdr:rowOff>23550</xdr:rowOff>
    </xdr:from>
    <xdr:to>
      <xdr:col>33</xdr:col>
      <xdr:colOff>451577</xdr:colOff>
      <xdr:row>65</xdr:row>
      <xdr:rowOff>8146</xdr:rowOff>
    </xdr:to>
    <xdr:sp macro="" textlink="PivotTable!G13">
      <xdr:nvSpPr>
        <xdr:cNvPr id="38" name="TextBox 37">
          <a:extLst>
            <a:ext uri="{FF2B5EF4-FFF2-40B4-BE49-F238E27FC236}">
              <a16:creationId xmlns:a16="http://schemas.microsoft.com/office/drawing/2014/main" id="{9BA8DA46-E421-7011-ADB3-06ED081D9EBB}"/>
            </a:ext>
          </a:extLst>
        </xdr:cNvPr>
        <xdr:cNvSpPr txBox="1"/>
      </xdr:nvSpPr>
      <xdr:spPr>
        <a:xfrm>
          <a:off x="18494487" y="11546477"/>
          <a:ext cx="1889895" cy="542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A39B97E-1794-4E57-8324-376484BC974B}" type="TxLink">
            <a:rPr lang="en-US" sz="3200" b="1" i="0" u="none" strike="noStrike" baseline="0">
              <a:solidFill>
                <a:schemeClr val="bg1"/>
              </a:solidFill>
              <a:latin typeface="Aptos Narrow"/>
            </a:rPr>
            <a:pPr algn="r"/>
            <a:t> 167,041 </a:t>
          </a:fld>
          <a:endParaRPr lang="en-US" sz="1400" b="1" baseline="0">
            <a:solidFill>
              <a:schemeClr val="bg1"/>
            </a:solidFill>
          </a:endParaRPr>
        </a:p>
      </xdr:txBody>
    </xdr:sp>
    <xdr:clientData/>
  </xdr:twoCellAnchor>
  <xdr:twoCellAnchor>
    <xdr:from>
      <xdr:col>30</xdr:col>
      <xdr:colOff>358635</xdr:colOff>
      <xdr:row>65</xdr:row>
      <xdr:rowOff>185688</xdr:rowOff>
    </xdr:from>
    <xdr:to>
      <xdr:col>33</xdr:col>
      <xdr:colOff>444312</xdr:colOff>
      <xdr:row>68</xdr:row>
      <xdr:rowOff>138558</xdr:rowOff>
    </xdr:to>
    <xdr:sp macro="" textlink="PivotTable!G14">
      <xdr:nvSpPr>
        <xdr:cNvPr id="40" name="TextBox 39">
          <a:extLst>
            <a:ext uri="{FF2B5EF4-FFF2-40B4-BE49-F238E27FC236}">
              <a16:creationId xmlns:a16="http://schemas.microsoft.com/office/drawing/2014/main" id="{1B1D75FD-DCC8-EBF2-166A-62607C4FA828}"/>
            </a:ext>
          </a:extLst>
        </xdr:cNvPr>
        <xdr:cNvSpPr txBox="1"/>
      </xdr:nvSpPr>
      <xdr:spPr>
        <a:xfrm>
          <a:off x="18479367" y="12266176"/>
          <a:ext cx="1897750" cy="510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760742C-4CAF-4A20-B0D2-3A465046F6F1}" type="TxLink">
            <a:rPr lang="en-US" sz="3200" b="1" i="0" u="none" strike="noStrike">
              <a:solidFill>
                <a:schemeClr val="bg1"/>
              </a:solidFill>
              <a:effectLst/>
              <a:latin typeface="Aptos Narrow"/>
            </a:rPr>
            <a:pPr algn="r"/>
            <a:t> 613,842 </a:t>
          </a:fld>
          <a:endParaRPr lang="en-US" sz="1400" b="1" baseline="0">
            <a:solidFill>
              <a:schemeClr val="bg1"/>
            </a:solidFill>
          </a:endParaRPr>
        </a:p>
      </xdr:txBody>
    </xdr:sp>
    <xdr:clientData/>
  </xdr:twoCellAnchor>
  <xdr:twoCellAnchor>
    <xdr:from>
      <xdr:col>30</xdr:col>
      <xdr:colOff>435990</xdr:colOff>
      <xdr:row>69</xdr:row>
      <xdr:rowOff>149881</xdr:rowOff>
    </xdr:from>
    <xdr:to>
      <xdr:col>33</xdr:col>
      <xdr:colOff>516360</xdr:colOff>
      <xdr:row>72</xdr:row>
      <xdr:rowOff>75062</xdr:rowOff>
    </xdr:to>
    <xdr:sp macro="" textlink="PivotTable!G15">
      <xdr:nvSpPr>
        <xdr:cNvPr id="41" name="TextBox 40">
          <a:extLst>
            <a:ext uri="{FF2B5EF4-FFF2-40B4-BE49-F238E27FC236}">
              <a16:creationId xmlns:a16="http://schemas.microsoft.com/office/drawing/2014/main" id="{2BF149A1-2DB9-27D5-1AB5-76E1EDD3D025}"/>
            </a:ext>
          </a:extLst>
        </xdr:cNvPr>
        <xdr:cNvSpPr txBox="1"/>
      </xdr:nvSpPr>
      <xdr:spPr>
        <a:xfrm>
          <a:off x="18556722" y="12973783"/>
          <a:ext cx="1892443" cy="482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31ED7F9-05B2-4949-920E-1BD2FF60F37E}" type="TxLink">
            <a:rPr lang="en-US" sz="3200" b="1" i="0" u="none" strike="noStrike" baseline="0">
              <a:solidFill>
                <a:schemeClr val="bg1"/>
              </a:solidFill>
              <a:latin typeface="Aptos Narrow"/>
            </a:rPr>
            <a:pPr algn="r"/>
            <a:t> 633,594 </a:t>
          </a:fld>
          <a:endParaRPr lang="en-US" sz="1400" b="1" baseline="0">
            <a:solidFill>
              <a:schemeClr val="bg1"/>
            </a:solidFill>
          </a:endParaRPr>
        </a:p>
      </xdr:txBody>
    </xdr:sp>
    <xdr:clientData/>
  </xdr:twoCellAnchor>
  <xdr:twoCellAnchor>
    <xdr:from>
      <xdr:col>30</xdr:col>
      <xdr:colOff>406961</xdr:colOff>
      <xdr:row>73</xdr:row>
      <xdr:rowOff>181164</xdr:rowOff>
    </xdr:from>
    <xdr:to>
      <xdr:col>33</xdr:col>
      <xdr:colOff>469169</xdr:colOff>
      <xdr:row>76</xdr:row>
      <xdr:rowOff>100147</xdr:rowOff>
    </xdr:to>
    <xdr:sp macro="" textlink="PivotTable!G16">
      <xdr:nvSpPr>
        <xdr:cNvPr id="42" name="TextBox 41">
          <a:extLst>
            <a:ext uri="{FF2B5EF4-FFF2-40B4-BE49-F238E27FC236}">
              <a16:creationId xmlns:a16="http://schemas.microsoft.com/office/drawing/2014/main" id="{6448A596-12D6-D79C-FA06-4BBF9759296B}"/>
            </a:ext>
          </a:extLst>
        </xdr:cNvPr>
        <xdr:cNvSpPr txBox="1"/>
      </xdr:nvSpPr>
      <xdr:spPr>
        <a:xfrm>
          <a:off x="18527693" y="13748481"/>
          <a:ext cx="1874281" cy="47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7D30771-248A-4DCA-8640-9E7D0716D31E}" type="TxLink">
            <a:rPr lang="en-US" sz="3200" b="1" i="0" u="none" strike="noStrike">
              <a:solidFill>
                <a:schemeClr val="bg1"/>
              </a:solidFill>
              <a:effectLst/>
              <a:latin typeface="Aptos Narrow"/>
            </a:rPr>
            <a:pPr algn="r"/>
            <a:t> 959,266 </a:t>
          </a:fld>
          <a:endParaRPr lang="en-US" sz="1400" b="1" baseline="0">
            <a:solidFill>
              <a:schemeClr val="bg1"/>
            </a:solidFill>
          </a:endParaRPr>
        </a:p>
      </xdr:txBody>
    </xdr:sp>
    <xdr:clientData/>
  </xdr:twoCellAnchor>
  <xdr:twoCellAnchor>
    <xdr:from>
      <xdr:col>30</xdr:col>
      <xdr:colOff>362696</xdr:colOff>
      <xdr:row>78</xdr:row>
      <xdr:rowOff>23829</xdr:rowOff>
    </xdr:from>
    <xdr:to>
      <xdr:col>33</xdr:col>
      <xdr:colOff>424903</xdr:colOff>
      <xdr:row>80</xdr:row>
      <xdr:rowOff>144192</xdr:rowOff>
    </xdr:to>
    <xdr:sp macro="" textlink="PivotTable!G17">
      <xdr:nvSpPr>
        <xdr:cNvPr id="43" name="TextBox 42">
          <a:extLst>
            <a:ext uri="{FF2B5EF4-FFF2-40B4-BE49-F238E27FC236}">
              <a16:creationId xmlns:a16="http://schemas.microsoft.com/office/drawing/2014/main" id="{3A063B94-9BCC-A4A5-B44E-43ED1E4F15BF}"/>
            </a:ext>
          </a:extLst>
        </xdr:cNvPr>
        <xdr:cNvSpPr txBox="1"/>
      </xdr:nvSpPr>
      <xdr:spPr>
        <a:xfrm>
          <a:off x="18483428" y="14520414"/>
          <a:ext cx="1874280" cy="492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EB35FD0-C933-4CE1-B029-A589968A8BD9}" type="TxLink">
            <a:rPr lang="en-US" sz="3200" b="1" i="0" u="none" strike="noStrike">
              <a:solidFill>
                <a:schemeClr val="bg1"/>
              </a:solidFill>
              <a:effectLst/>
              <a:latin typeface="Aptos Narrow"/>
            </a:rPr>
            <a:pPr algn="r"/>
            <a:t> 731,170 </a:t>
          </a:fld>
          <a:endParaRPr lang="en-US" sz="1600" b="1" baseline="0">
            <a:solidFill>
              <a:schemeClr val="bg1"/>
            </a:solidFill>
          </a:endParaRPr>
        </a:p>
      </xdr:txBody>
    </xdr:sp>
    <xdr:clientData/>
  </xdr:twoCellAnchor>
  <xdr:twoCellAnchor>
    <xdr:from>
      <xdr:col>28</xdr:col>
      <xdr:colOff>215649</xdr:colOff>
      <xdr:row>52</xdr:row>
      <xdr:rowOff>24605</xdr:rowOff>
    </xdr:from>
    <xdr:to>
      <xdr:col>31</xdr:col>
      <xdr:colOff>290845</xdr:colOff>
      <xdr:row>55</xdr:row>
      <xdr:rowOff>28788</xdr:rowOff>
    </xdr:to>
    <xdr:sp macro="" textlink="">
      <xdr:nvSpPr>
        <xdr:cNvPr id="44" name="Rectangle: Rounded Corners 43">
          <a:extLst>
            <a:ext uri="{FF2B5EF4-FFF2-40B4-BE49-F238E27FC236}">
              <a16:creationId xmlns:a16="http://schemas.microsoft.com/office/drawing/2014/main" id="{C59F996B-FAB9-981C-A966-7BCEDEBD6B68}"/>
            </a:ext>
          </a:extLst>
        </xdr:cNvPr>
        <xdr:cNvSpPr/>
      </xdr:nvSpPr>
      <xdr:spPr>
        <a:xfrm>
          <a:off x="17128332" y="9688995"/>
          <a:ext cx="1887269" cy="56174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rgbClr val="E5B244"/>
              </a:solidFill>
            </a:rPr>
            <a:t>Salaries</a:t>
          </a:r>
          <a:endParaRPr lang="en-US" sz="1600" b="1">
            <a:solidFill>
              <a:srgbClr val="E5B244"/>
            </a:solidFill>
          </a:endParaRPr>
        </a:p>
      </xdr:txBody>
    </xdr:sp>
    <xdr:clientData/>
  </xdr:twoCellAnchor>
  <xdr:twoCellAnchor>
    <xdr:from>
      <xdr:col>26</xdr:col>
      <xdr:colOff>106509</xdr:colOff>
      <xdr:row>55</xdr:row>
      <xdr:rowOff>4373</xdr:rowOff>
    </xdr:from>
    <xdr:to>
      <xdr:col>34</xdr:col>
      <xdr:colOff>208424</xdr:colOff>
      <xdr:row>58</xdr:row>
      <xdr:rowOff>111108</xdr:rowOff>
    </xdr:to>
    <xdr:sp macro="" textlink="">
      <xdr:nvSpPr>
        <xdr:cNvPr id="46" name="Rectangle: Rounded Corners 45">
          <a:extLst>
            <a:ext uri="{FF2B5EF4-FFF2-40B4-BE49-F238E27FC236}">
              <a16:creationId xmlns:a16="http://schemas.microsoft.com/office/drawing/2014/main" id="{ADF7F4F7-DA9E-8897-11F6-437446C90926}"/>
            </a:ext>
          </a:extLst>
        </xdr:cNvPr>
        <xdr:cNvSpPr/>
      </xdr:nvSpPr>
      <xdr:spPr>
        <a:xfrm>
          <a:off x="15811143" y="10226324"/>
          <a:ext cx="4934110" cy="6642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2"/>
              </a:solidFill>
            </a:rPr>
            <a:t>Salary amount</a:t>
          </a:r>
          <a:r>
            <a:rPr lang="en-US" sz="2800" b="1" baseline="0">
              <a:solidFill>
                <a:schemeClr val="bg2"/>
              </a:solidFill>
            </a:rPr>
            <a:t> of job titles</a:t>
          </a:r>
          <a:endParaRPr lang="en-US" sz="2800" b="1">
            <a:solidFill>
              <a:schemeClr val="bg2"/>
            </a:solidFill>
          </a:endParaRPr>
        </a:p>
      </xdr:txBody>
    </xdr:sp>
    <xdr:clientData/>
  </xdr:twoCellAnchor>
  <xdr:twoCellAnchor>
    <xdr:from>
      <xdr:col>14</xdr:col>
      <xdr:colOff>449935</xdr:colOff>
      <xdr:row>65</xdr:row>
      <xdr:rowOff>180916</xdr:rowOff>
    </xdr:from>
    <xdr:to>
      <xdr:col>16</xdr:col>
      <xdr:colOff>286289</xdr:colOff>
      <xdr:row>68</xdr:row>
      <xdr:rowOff>36602</xdr:rowOff>
    </xdr:to>
    <xdr:sp macro="" textlink="">
      <xdr:nvSpPr>
        <xdr:cNvPr id="69" name="Rectangle 68">
          <a:extLst>
            <a:ext uri="{FF2B5EF4-FFF2-40B4-BE49-F238E27FC236}">
              <a16:creationId xmlns:a16="http://schemas.microsoft.com/office/drawing/2014/main" id="{0E6301B8-4DBC-4A6C-B692-DDA5E5E973BB}"/>
            </a:ext>
          </a:extLst>
        </xdr:cNvPr>
        <xdr:cNvSpPr/>
      </xdr:nvSpPr>
      <xdr:spPr>
        <a:xfrm>
          <a:off x="8906276" y="12261404"/>
          <a:ext cx="1044403" cy="4132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chemeClr val="bg1"/>
            </a:solidFill>
          </a:endParaRPr>
        </a:p>
      </xdr:txBody>
    </xdr:sp>
    <xdr:clientData/>
  </xdr:twoCellAnchor>
  <xdr:twoCellAnchor>
    <xdr:from>
      <xdr:col>14</xdr:col>
      <xdr:colOff>55058</xdr:colOff>
      <xdr:row>68</xdr:row>
      <xdr:rowOff>104876</xdr:rowOff>
    </xdr:from>
    <xdr:to>
      <xdr:col>15</xdr:col>
      <xdr:colOff>505242</xdr:colOff>
      <xdr:row>70</xdr:row>
      <xdr:rowOff>143478</xdr:rowOff>
    </xdr:to>
    <xdr:sp macro="" textlink="">
      <xdr:nvSpPr>
        <xdr:cNvPr id="70" name="Rectangle 69">
          <a:extLst>
            <a:ext uri="{FF2B5EF4-FFF2-40B4-BE49-F238E27FC236}">
              <a16:creationId xmlns:a16="http://schemas.microsoft.com/office/drawing/2014/main" id="{0B268075-B99F-4241-AB2B-68BD3EA59FFD}"/>
            </a:ext>
          </a:extLst>
        </xdr:cNvPr>
        <xdr:cNvSpPr/>
      </xdr:nvSpPr>
      <xdr:spPr>
        <a:xfrm>
          <a:off x="8627558" y="12442019"/>
          <a:ext cx="1062505" cy="4014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chemeClr val="bg1"/>
              </a:solidFill>
              <a:effectLst/>
              <a:latin typeface="Aptos Narrow" panose="020B0004020202020204" pitchFamily="34" charset="0"/>
            </a:rPr>
            <a:t>46%</a:t>
          </a:r>
          <a:r>
            <a:rPr lang="en-US" sz="2400">
              <a:solidFill>
                <a:schemeClr val="bg1"/>
              </a:solidFill>
              <a:effectLst/>
            </a:rPr>
            <a:t> </a:t>
          </a:r>
          <a:endParaRPr lang="en-US" sz="2400" b="1">
            <a:solidFill>
              <a:schemeClr val="bg1"/>
            </a:solidFill>
          </a:endParaRPr>
        </a:p>
      </xdr:txBody>
    </xdr:sp>
    <xdr:clientData/>
  </xdr:twoCellAnchor>
  <xdr:twoCellAnchor>
    <xdr:from>
      <xdr:col>14</xdr:col>
      <xdr:colOff>70980</xdr:colOff>
      <xdr:row>73</xdr:row>
      <xdr:rowOff>24830</xdr:rowOff>
    </xdr:from>
    <xdr:to>
      <xdr:col>15</xdr:col>
      <xdr:colOff>521164</xdr:colOff>
      <xdr:row>75</xdr:row>
      <xdr:rowOff>62584</xdr:rowOff>
    </xdr:to>
    <xdr:sp macro="" textlink="">
      <xdr:nvSpPr>
        <xdr:cNvPr id="71" name="Rectangle 70">
          <a:extLst>
            <a:ext uri="{FF2B5EF4-FFF2-40B4-BE49-F238E27FC236}">
              <a16:creationId xmlns:a16="http://schemas.microsoft.com/office/drawing/2014/main" id="{FCEB65A2-E19D-41F4-80A9-6DE05FA99F05}"/>
            </a:ext>
          </a:extLst>
        </xdr:cNvPr>
        <xdr:cNvSpPr/>
      </xdr:nvSpPr>
      <xdr:spPr>
        <a:xfrm>
          <a:off x="8643480" y="13269116"/>
          <a:ext cx="1062505" cy="4006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chemeClr val="bg1"/>
              </a:solidFill>
              <a:effectLst/>
              <a:latin typeface="Aptos Narrow" panose="020B0004020202020204" pitchFamily="34" charset="0"/>
              <a:ea typeface="+mn-ea"/>
              <a:cs typeface="+mn-cs"/>
            </a:rPr>
            <a:t>16%</a:t>
          </a:r>
          <a:r>
            <a:rPr lang="en-US" sz="2400">
              <a:effectLst/>
            </a:rPr>
            <a:t> </a:t>
          </a:r>
          <a:endParaRPr lang="en-US" sz="2400" b="1">
            <a:solidFill>
              <a:schemeClr val="bg1"/>
            </a:solidFill>
          </a:endParaRPr>
        </a:p>
      </xdr:txBody>
    </xdr:sp>
    <xdr:clientData/>
  </xdr:twoCellAnchor>
  <xdr:twoCellAnchor>
    <xdr:from>
      <xdr:col>14</xdr:col>
      <xdr:colOff>31195</xdr:colOff>
      <xdr:row>78</xdr:row>
      <xdr:rowOff>10904</xdr:rowOff>
    </xdr:from>
    <xdr:to>
      <xdr:col>15</xdr:col>
      <xdr:colOff>476223</xdr:colOff>
      <xdr:row>80</xdr:row>
      <xdr:rowOff>52443</xdr:rowOff>
    </xdr:to>
    <xdr:sp macro="" textlink="">
      <xdr:nvSpPr>
        <xdr:cNvPr id="72" name="Rectangle 71">
          <a:extLst>
            <a:ext uri="{FF2B5EF4-FFF2-40B4-BE49-F238E27FC236}">
              <a16:creationId xmlns:a16="http://schemas.microsoft.com/office/drawing/2014/main" id="{CBA1214E-7542-43D6-A64F-9A5B8C32DAF8}"/>
            </a:ext>
          </a:extLst>
        </xdr:cNvPr>
        <xdr:cNvSpPr/>
      </xdr:nvSpPr>
      <xdr:spPr>
        <a:xfrm>
          <a:off x="8603695" y="14162333"/>
          <a:ext cx="1057349" cy="4043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chemeClr val="bg1"/>
              </a:solidFill>
              <a:effectLst/>
              <a:latin typeface="Aptos Narrow" panose="020B0004020202020204" pitchFamily="34" charset="0"/>
              <a:ea typeface="+mn-ea"/>
              <a:cs typeface="+mn-cs"/>
            </a:rPr>
            <a:t>38%</a:t>
          </a:r>
          <a:r>
            <a:rPr lang="en-US" sz="2400">
              <a:effectLst/>
            </a:rPr>
            <a:t> </a:t>
          </a:r>
          <a:endParaRPr lang="en-US" sz="2400" b="1">
            <a:solidFill>
              <a:schemeClr val="bg1"/>
            </a:solidFill>
          </a:endParaRPr>
        </a:p>
      </xdr:txBody>
    </xdr:sp>
    <xdr:clientData/>
  </xdr:twoCellAnchor>
  <xdr:twoCellAnchor>
    <xdr:from>
      <xdr:col>6</xdr:col>
      <xdr:colOff>577903</xdr:colOff>
      <xdr:row>60</xdr:row>
      <xdr:rowOff>121981</xdr:rowOff>
    </xdr:from>
    <xdr:to>
      <xdr:col>17</xdr:col>
      <xdr:colOff>308799</xdr:colOff>
      <xdr:row>63</xdr:row>
      <xdr:rowOff>21843</xdr:rowOff>
    </xdr:to>
    <xdr:sp macro="" textlink="">
      <xdr:nvSpPr>
        <xdr:cNvPr id="73" name="Rectangle: Rounded Corners 72">
          <a:extLst>
            <a:ext uri="{FF2B5EF4-FFF2-40B4-BE49-F238E27FC236}">
              <a16:creationId xmlns:a16="http://schemas.microsoft.com/office/drawing/2014/main" id="{DA0BFBBF-F63A-45EA-9A49-0F210209584A}"/>
            </a:ext>
          </a:extLst>
        </xdr:cNvPr>
        <xdr:cNvSpPr/>
      </xdr:nvSpPr>
      <xdr:spPr>
        <a:xfrm>
          <a:off x="4202049" y="11273201"/>
          <a:ext cx="6375165" cy="4574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a:solidFill>
                <a:srgbClr val="E5B244"/>
              </a:solidFill>
            </a:rPr>
            <a:t>Work</a:t>
          </a:r>
          <a:r>
            <a:rPr lang="en-US" sz="2800" b="1" i="0" baseline="0">
              <a:solidFill>
                <a:srgbClr val="E5B244"/>
              </a:solidFill>
            </a:rPr>
            <a:t> Location </a:t>
          </a:r>
        </a:p>
      </xdr:txBody>
    </xdr:sp>
    <xdr:clientData/>
  </xdr:twoCellAnchor>
  <xdr:twoCellAnchor>
    <xdr:from>
      <xdr:col>6</xdr:col>
      <xdr:colOff>187660</xdr:colOff>
      <xdr:row>63</xdr:row>
      <xdr:rowOff>105951</xdr:rowOff>
    </xdr:from>
    <xdr:to>
      <xdr:col>16</xdr:col>
      <xdr:colOff>475781</xdr:colOff>
      <xdr:row>66</xdr:row>
      <xdr:rowOff>82301</xdr:rowOff>
    </xdr:to>
    <xdr:sp macro="" textlink="">
      <xdr:nvSpPr>
        <xdr:cNvPr id="74" name="Rectangle: Rounded Corners 73">
          <a:extLst>
            <a:ext uri="{FF2B5EF4-FFF2-40B4-BE49-F238E27FC236}">
              <a16:creationId xmlns:a16="http://schemas.microsoft.com/office/drawing/2014/main" id="{0E1904BF-2D4F-4A54-8B05-F5CB71466DDF}"/>
            </a:ext>
          </a:extLst>
        </xdr:cNvPr>
        <xdr:cNvSpPr/>
      </xdr:nvSpPr>
      <xdr:spPr>
        <a:xfrm>
          <a:off x="3861589" y="11535951"/>
          <a:ext cx="6411335" cy="5206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Employees</a:t>
          </a:r>
          <a:r>
            <a:rPr lang="en-US" sz="2400" b="1" baseline="0"/>
            <a:t> to Workplace</a:t>
          </a:r>
          <a:endParaRPr lang="en-US" sz="2400" b="1"/>
        </a:p>
      </xdr:txBody>
    </xdr:sp>
    <xdr:clientData/>
  </xdr:twoCellAnchor>
  <xdr:twoCellAnchor>
    <xdr:from>
      <xdr:col>6</xdr:col>
      <xdr:colOff>106340</xdr:colOff>
      <xdr:row>77</xdr:row>
      <xdr:rowOff>60782</xdr:rowOff>
    </xdr:from>
    <xdr:to>
      <xdr:col>13</xdr:col>
      <xdr:colOff>575316</xdr:colOff>
      <xdr:row>81</xdr:row>
      <xdr:rowOff>84486</xdr:rowOff>
    </xdr:to>
    <xdr:graphicFrame macro="">
      <xdr:nvGraphicFramePr>
        <xdr:cNvPr id="75" name="Chart 74">
          <a:extLst>
            <a:ext uri="{FF2B5EF4-FFF2-40B4-BE49-F238E27FC236}">
              <a16:creationId xmlns:a16="http://schemas.microsoft.com/office/drawing/2014/main" id="{F6D63EFE-669E-17B6-7D48-0EB4484F2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157664</xdr:colOff>
      <xdr:row>72</xdr:row>
      <xdr:rowOff>75959</xdr:rowOff>
    </xdr:from>
    <xdr:to>
      <xdr:col>14</xdr:col>
      <xdr:colOff>108865</xdr:colOff>
      <xdr:row>76</xdr:row>
      <xdr:rowOff>95290</xdr:rowOff>
    </xdr:to>
    <xdr:graphicFrame macro="">
      <xdr:nvGraphicFramePr>
        <xdr:cNvPr id="76" name="Chart 75">
          <a:extLst>
            <a:ext uri="{FF2B5EF4-FFF2-40B4-BE49-F238E27FC236}">
              <a16:creationId xmlns:a16="http://schemas.microsoft.com/office/drawing/2014/main" id="{BBF45503-D699-C092-744F-10E984916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163631</xdr:colOff>
      <xdr:row>67</xdr:row>
      <xdr:rowOff>146900</xdr:rowOff>
    </xdr:from>
    <xdr:to>
      <xdr:col>14</xdr:col>
      <xdr:colOff>175059</xdr:colOff>
      <xdr:row>71</xdr:row>
      <xdr:rowOff>167805</xdr:rowOff>
    </xdr:to>
    <xdr:graphicFrame macro="">
      <xdr:nvGraphicFramePr>
        <xdr:cNvPr id="77" name="Chart 76">
          <a:extLst>
            <a:ext uri="{FF2B5EF4-FFF2-40B4-BE49-F238E27FC236}">
              <a16:creationId xmlns:a16="http://schemas.microsoft.com/office/drawing/2014/main" id="{4349262B-E05D-0B51-C129-C870182FA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143070</xdr:colOff>
      <xdr:row>70</xdr:row>
      <xdr:rowOff>132634</xdr:rowOff>
    </xdr:from>
    <xdr:to>
      <xdr:col>10</xdr:col>
      <xdr:colOff>300247</xdr:colOff>
      <xdr:row>72</xdr:row>
      <xdr:rowOff>180568</xdr:rowOff>
    </xdr:to>
    <xdr:sp macro="" textlink="">
      <xdr:nvSpPr>
        <xdr:cNvPr id="81" name="Rectangle 80">
          <a:extLst>
            <a:ext uri="{FF2B5EF4-FFF2-40B4-BE49-F238E27FC236}">
              <a16:creationId xmlns:a16="http://schemas.microsoft.com/office/drawing/2014/main" id="{C0A491E7-8683-6774-E959-4B1AF7572B96}"/>
            </a:ext>
          </a:extLst>
        </xdr:cNvPr>
        <xdr:cNvSpPr/>
      </xdr:nvSpPr>
      <xdr:spPr>
        <a:xfrm>
          <a:off x="3816999" y="12832634"/>
          <a:ext cx="2606462" cy="410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chemeClr val="bg1"/>
              </a:solidFill>
              <a:effectLst/>
              <a:latin typeface="Aptos Narrow" panose="020B0004020202020204" pitchFamily="34" charset="0"/>
            </a:rPr>
            <a:t>Head Office</a:t>
          </a:r>
          <a:r>
            <a:rPr lang="en-US" sz="2800" b="1">
              <a:solidFill>
                <a:schemeClr val="bg1"/>
              </a:solidFill>
              <a:effectLst/>
            </a:rPr>
            <a:t> </a:t>
          </a:r>
          <a:endParaRPr lang="en-US" sz="2800" b="1">
            <a:solidFill>
              <a:schemeClr val="bg1"/>
            </a:solidFill>
          </a:endParaRPr>
        </a:p>
      </xdr:txBody>
    </xdr:sp>
    <xdr:clientData/>
  </xdr:twoCellAnchor>
  <xdr:twoCellAnchor>
    <xdr:from>
      <xdr:col>6</xdr:col>
      <xdr:colOff>186673</xdr:colOff>
      <xdr:row>75</xdr:row>
      <xdr:rowOff>118883</xdr:rowOff>
    </xdr:from>
    <xdr:to>
      <xdr:col>10</xdr:col>
      <xdr:colOff>337547</xdr:colOff>
      <xdr:row>77</xdr:row>
      <xdr:rowOff>160426</xdr:rowOff>
    </xdr:to>
    <xdr:sp macro="" textlink="">
      <xdr:nvSpPr>
        <xdr:cNvPr id="86" name="Rectangle 85">
          <a:extLst>
            <a:ext uri="{FF2B5EF4-FFF2-40B4-BE49-F238E27FC236}">
              <a16:creationId xmlns:a16="http://schemas.microsoft.com/office/drawing/2014/main" id="{275F2487-5644-D27F-F749-34ABD0E23C3F}"/>
            </a:ext>
          </a:extLst>
        </xdr:cNvPr>
        <xdr:cNvSpPr/>
      </xdr:nvSpPr>
      <xdr:spPr>
        <a:xfrm>
          <a:off x="3860602" y="13726026"/>
          <a:ext cx="2600159" cy="40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chemeClr val="bg1"/>
              </a:solidFill>
              <a:effectLst/>
              <a:latin typeface="Aptos Narrow" panose="020B0004020202020204" pitchFamily="34" charset="0"/>
            </a:rPr>
            <a:t>Remote</a:t>
          </a:r>
          <a:r>
            <a:rPr lang="en-US" sz="2800" b="1">
              <a:effectLst/>
            </a:rPr>
            <a:t> </a:t>
          </a:r>
          <a:endParaRPr lang="en-US" sz="2800" b="1">
            <a:solidFill>
              <a:schemeClr val="bg1"/>
            </a:solidFill>
          </a:endParaRPr>
        </a:p>
      </xdr:txBody>
    </xdr:sp>
    <xdr:clientData/>
  </xdr:twoCellAnchor>
  <xdr:twoCellAnchor>
    <xdr:from>
      <xdr:col>6</xdr:col>
      <xdr:colOff>172785</xdr:colOff>
      <xdr:row>66</xdr:row>
      <xdr:rowOff>100778</xdr:rowOff>
    </xdr:from>
    <xdr:to>
      <xdr:col>10</xdr:col>
      <xdr:colOff>323659</xdr:colOff>
      <xdr:row>68</xdr:row>
      <xdr:rowOff>152108</xdr:rowOff>
    </xdr:to>
    <xdr:sp macro="" textlink="">
      <xdr:nvSpPr>
        <xdr:cNvPr id="87" name="Rectangle 86">
          <a:extLst>
            <a:ext uri="{FF2B5EF4-FFF2-40B4-BE49-F238E27FC236}">
              <a16:creationId xmlns:a16="http://schemas.microsoft.com/office/drawing/2014/main" id="{69846AF8-3E74-4B62-B654-938218495592}"/>
            </a:ext>
          </a:extLst>
        </xdr:cNvPr>
        <xdr:cNvSpPr/>
      </xdr:nvSpPr>
      <xdr:spPr>
        <a:xfrm>
          <a:off x="3846714" y="12075064"/>
          <a:ext cx="2600159" cy="4141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chemeClr val="bg1"/>
              </a:solidFill>
              <a:effectLst/>
              <a:latin typeface="Aptos Narrow" panose="020B0004020202020204" pitchFamily="34" charset="0"/>
            </a:rPr>
            <a:t>Branch Office</a:t>
          </a:r>
          <a:r>
            <a:rPr lang="en-US" sz="2800" b="1">
              <a:solidFill>
                <a:schemeClr val="bg1"/>
              </a:solidFill>
              <a:effectLst/>
            </a:rPr>
            <a:t> </a:t>
          </a:r>
          <a:endParaRPr lang="en-US" sz="2800" b="1">
            <a:solidFill>
              <a:schemeClr val="bg1"/>
            </a:solidFill>
          </a:endParaRPr>
        </a:p>
      </xdr:txBody>
    </xdr:sp>
    <xdr:clientData/>
  </xdr:twoCellAnchor>
  <xdr:twoCellAnchor>
    <xdr:from>
      <xdr:col>35</xdr:col>
      <xdr:colOff>69694</xdr:colOff>
      <xdr:row>68</xdr:row>
      <xdr:rowOff>70971</xdr:rowOff>
    </xdr:from>
    <xdr:to>
      <xdr:col>39</xdr:col>
      <xdr:colOff>186305</xdr:colOff>
      <xdr:row>79</xdr:row>
      <xdr:rowOff>64558</xdr:rowOff>
    </xdr:to>
    <xdr:sp macro="" textlink="">
      <xdr:nvSpPr>
        <xdr:cNvPr id="101" name="Rectangle: Rounded Corners 100">
          <a:extLst>
            <a:ext uri="{FF2B5EF4-FFF2-40B4-BE49-F238E27FC236}">
              <a16:creationId xmlns:a16="http://schemas.microsoft.com/office/drawing/2014/main" id="{20D950DD-6787-46E4-B7AF-6FDECF31E03E}"/>
            </a:ext>
          </a:extLst>
        </xdr:cNvPr>
        <xdr:cNvSpPr/>
      </xdr:nvSpPr>
      <xdr:spPr>
        <a:xfrm>
          <a:off x="21210548" y="12709020"/>
          <a:ext cx="2532708" cy="203797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Employes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with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contracts</a:t>
          </a:r>
        </a:p>
      </xdr:txBody>
    </xdr:sp>
    <xdr:clientData/>
  </xdr:twoCellAnchor>
  <xdr:twoCellAnchor>
    <xdr:from>
      <xdr:col>45</xdr:col>
      <xdr:colOff>23231</xdr:colOff>
      <xdr:row>68</xdr:row>
      <xdr:rowOff>23231</xdr:rowOff>
    </xdr:from>
    <xdr:to>
      <xdr:col>49</xdr:col>
      <xdr:colOff>394939</xdr:colOff>
      <xdr:row>82</xdr:row>
      <xdr:rowOff>136071</xdr:rowOff>
    </xdr:to>
    <xdr:sp macro="" textlink="">
      <xdr:nvSpPr>
        <xdr:cNvPr id="107" name="Rectangle: Rounded Corners 106">
          <a:extLst>
            <a:ext uri="{FF2B5EF4-FFF2-40B4-BE49-F238E27FC236}">
              <a16:creationId xmlns:a16="http://schemas.microsoft.com/office/drawing/2014/main" id="{F66C21C9-8E78-AB70-6006-ACDD37940852}"/>
            </a:ext>
          </a:extLst>
        </xdr:cNvPr>
        <xdr:cNvSpPr/>
      </xdr:nvSpPr>
      <xdr:spPr>
        <a:xfrm>
          <a:off x="27577695" y="12360374"/>
          <a:ext cx="2820994" cy="2652840"/>
        </a:xfrm>
        <a:prstGeom prst="roundRect">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125835</xdr:colOff>
      <xdr:row>68</xdr:row>
      <xdr:rowOff>162620</xdr:rowOff>
    </xdr:from>
    <xdr:to>
      <xdr:col>49</xdr:col>
      <xdr:colOff>39142</xdr:colOff>
      <xdr:row>78</xdr:row>
      <xdr:rowOff>46463</xdr:rowOff>
    </xdr:to>
    <xdr:sp macro="" textlink="">
      <xdr:nvSpPr>
        <xdr:cNvPr id="108" name="Rectangle: Rounded Corners 107">
          <a:extLst>
            <a:ext uri="{FF2B5EF4-FFF2-40B4-BE49-F238E27FC236}">
              <a16:creationId xmlns:a16="http://schemas.microsoft.com/office/drawing/2014/main" id="{820594BE-5D08-0877-DA49-A995D6241CAB}"/>
            </a:ext>
          </a:extLst>
        </xdr:cNvPr>
        <xdr:cNvSpPr/>
      </xdr:nvSpPr>
      <xdr:spPr>
        <a:xfrm>
          <a:off x="27306933" y="12800669"/>
          <a:ext cx="2329404" cy="17423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Part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Time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Employees</a:t>
          </a:r>
        </a:p>
      </xdr:txBody>
    </xdr:sp>
    <xdr:clientData/>
  </xdr:twoCellAnchor>
  <xdr:twoCellAnchor>
    <xdr:from>
      <xdr:col>48</xdr:col>
      <xdr:colOff>271923</xdr:colOff>
      <xdr:row>69</xdr:row>
      <xdr:rowOff>21406</xdr:rowOff>
    </xdr:from>
    <xdr:to>
      <xdr:col>49</xdr:col>
      <xdr:colOff>148982</xdr:colOff>
      <xdr:row>71</xdr:row>
      <xdr:rowOff>77904</xdr:rowOff>
    </xdr:to>
    <xdr:sp macro="" textlink="">
      <xdr:nvSpPr>
        <xdr:cNvPr id="109" name="Oval 108">
          <a:extLst>
            <a:ext uri="{FF2B5EF4-FFF2-40B4-BE49-F238E27FC236}">
              <a16:creationId xmlns:a16="http://schemas.microsoft.com/office/drawing/2014/main" id="{97E7A34B-1CB7-483D-B117-905171DD0BFE}"/>
            </a:ext>
          </a:extLst>
        </xdr:cNvPr>
        <xdr:cNvSpPr/>
      </xdr:nvSpPr>
      <xdr:spPr>
        <a:xfrm>
          <a:off x="29265094" y="12845308"/>
          <a:ext cx="481083" cy="42820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362857</xdr:colOff>
      <xdr:row>76</xdr:row>
      <xdr:rowOff>0</xdr:rowOff>
    </xdr:from>
    <xdr:to>
      <xdr:col>49</xdr:col>
      <xdr:colOff>453571</xdr:colOff>
      <xdr:row>82</xdr:row>
      <xdr:rowOff>70801</xdr:rowOff>
    </xdr:to>
    <xdr:sp macro="" textlink="PivotTable!C13">
      <xdr:nvSpPr>
        <xdr:cNvPr id="110" name="Flowchart: Connector 109">
          <a:extLst>
            <a:ext uri="{FF2B5EF4-FFF2-40B4-BE49-F238E27FC236}">
              <a16:creationId xmlns:a16="http://schemas.microsoft.com/office/drawing/2014/main" id="{55EE59BC-02D3-4EA7-B3B9-BF6657A3F54F}"/>
            </a:ext>
          </a:extLst>
        </xdr:cNvPr>
        <xdr:cNvSpPr/>
      </xdr:nvSpPr>
      <xdr:spPr>
        <a:xfrm>
          <a:off x="29141964" y="13788571"/>
          <a:ext cx="1315357" cy="1159373"/>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1552EBB-22A8-422D-A4CA-D593A6044E8A}" type="TxLink">
            <a:rPr kumimoji="0" lang="en-US" sz="5400" b="1" i="0" u="none" strike="noStrike" kern="0" cap="none" spc="0" normalizeH="0" baseline="0" noProof="0">
              <a:ln>
                <a:noFill/>
              </a:ln>
              <a:solidFill>
                <a:schemeClr val="bg1"/>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a:t>
          </a:fld>
          <a:endParaRPr kumimoji="0" lang="en-US" sz="2800" b="1"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40</xdr:col>
      <xdr:colOff>23230</xdr:colOff>
      <xdr:row>68</xdr:row>
      <xdr:rowOff>11478</xdr:rowOff>
    </xdr:from>
    <xdr:to>
      <xdr:col>44</xdr:col>
      <xdr:colOff>485682</xdr:colOff>
      <xdr:row>82</xdr:row>
      <xdr:rowOff>113633</xdr:rowOff>
    </xdr:to>
    <xdr:sp macro="" textlink="">
      <xdr:nvSpPr>
        <xdr:cNvPr id="111" name="Rectangle: Rounded Corners 110">
          <a:extLst>
            <a:ext uri="{FF2B5EF4-FFF2-40B4-BE49-F238E27FC236}">
              <a16:creationId xmlns:a16="http://schemas.microsoft.com/office/drawing/2014/main" id="{86E5109B-F1E8-43F3-A34C-5CAA6504C683}"/>
            </a:ext>
          </a:extLst>
        </xdr:cNvPr>
        <xdr:cNvSpPr/>
      </xdr:nvSpPr>
      <xdr:spPr>
        <a:xfrm>
          <a:off x="24184206" y="12649527"/>
          <a:ext cx="2878549" cy="2704106"/>
        </a:xfrm>
        <a:prstGeom prst="roundRect">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35098</xdr:colOff>
      <xdr:row>68</xdr:row>
      <xdr:rowOff>124332</xdr:rowOff>
    </xdr:from>
    <xdr:to>
      <xdr:col>43</xdr:col>
      <xdr:colOff>552427</xdr:colOff>
      <xdr:row>78</xdr:row>
      <xdr:rowOff>9928</xdr:rowOff>
    </xdr:to>
    <xdr:sp macro="" textlink="">
      <xdr:nvSpPr>
        <xdr:cNvPr id="113" name="Rectangle: Rounded Corners 112">
          <a:extLst>
            <a:ext uri="{FF2B5EF4-FFF2-40B4-BE49-F238E27FC236}">
              <a16:creationId xmlns:a16="http://schemas.microsoft.com/office/drawing/2014/main" id="{79A7B38D-3D4B-483A-B41D-46B0DC5BE897}"/>
            </a:ext>
          </a:extLst>
        </xdr:cNvPr>
        <xdr:cNvSpPr/>
      </xdr:nvSpPr>
      <xdr:spPr>
        <a:xfrm>
          <a:off x="24196074" y="12762381"/>
          <a:ext cx="2329402" cy="17441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Full</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Time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Employees</a:t>
          </a:r>
        </a:p>
      </xdr:txBody>
    </xdr:sp>
    <xdr:clientData/>
  </xdr:twoCellAnchor>
  <xdr:twoCellAnchor>
    <xdr:from>
      <xdr:col>42</xdr:col>
      <xdr:colOff>362858</xdr:colOff>
      <xdr:row>75</xdr:row>
      <xdr:rowOff>113392</xdr:rowOff>
    </xdr:from>
    <xdr:to>
      <xdr:col>44</xdr:col>
      <xdr:colOff>498929</xdr:colOff>
      <xdr:row>82</xdr:row>
      <xdr:rowOff>67722</xdr:rowOff>
    </xdr:to>
    <xdr:sp macro="" textlink="PivotTable!C12">
      <xdr:nvSpPr>
        <xdr:cNvPr id="114" name="Flowchart: Connector 113">
          <a:extLst>
            <a:ext uri="{FF2B5EF4-FFF2-40B4-BE49-F238E27FC236}">
              <a16:creationId xmlns:a16="http://schemas.microsoft.com/office/drawing/2014/main" id="{6E842BDF-7833-4E93-BD70-C4C729957935}"/>
            </a:ext>
          </a:extLst>
        </xdr:cNvPr>
        <xdr:cNvSpPr/>
      </xdr:nvSpPr>
      <xdr:spPr>
        <a:xfrm>
          <a:off x="26080358" y="13720535"/>
          <a:ext cx="1360714" cy="1224330"/>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2714E57-F9ED-4868-AD4A-0DA3947F3EFB}" type="TxLink">
            <a:rPr kumimoji="0" lang="en-US" sz="5400" b="1" i="0" u="none" strike="noStrike" kern="0" cap="none" spc="0" normalizeH="0" baseline="0" noProof="0">
              <a:ln>
                <a:noFill/>
              </a:ln>
              <a:solidFill>
                <a:schemeClr val="bg1"/>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20</a:t>
          </a:fld>
          <a:endParaRPr kumimoji="0" lang="en-US" sz="2800" b="1"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37</xdr:col>
      <xdr:colOff>340179</xdr:colOff>
      <xdr:row>75</xdr:row>
      <xdr:rowOff>136072</xdr:rowOff>
    </xdr:from>
    <xdr:to>
      <xdr:col>39</xdr:col>
      <xdr:colOff>385536</xdr:colOff>
      <xdr:row>82</xdr:row>
      <xdr:rowOff>68036</xdr:rowOff>
    </xdr:to>
    <xdr:sp macro="" textlink="PivotTable!C11">
      <xdr:nvSpPr>
        <xdr:cNvPr id="115" name="Flowchart: Connector 114">
          <a:extLst>
            <a:ext uri="{FF2B5EF4-FFF2-40B4-BE49-F238E27FC236}">
              <a16:creationId xmlns:a16="http://schemas.microsoft.com/office/drawing/2014/main" id="{73A28414-BA6A-480F-9220-42F37DE1E560}"/>
            </a:ext>
          </a:extLst>
        </xdr:cNvPr>
        <xdr:cNvSpPr/>
      </xdr:nvSpPr>
      <xdr:spPr>
        <a:xfrm>
          <a:off x="22996072" y="13743215"/>
          <a:ext cx="1270000" cy="1201964"/>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6301587-C6C5-4EB1-8513-43605C832264}" type="TxLink">
            <a:rPr kumimoji="0" lang="en-US" sz="5400" b="1" i="0" u="none" strike="noStrike" kern="0" cap="none" spc="0" normalizeH="0" baseline="0" noProof="0">
              <a:ln>
                <a:noFill/>
              </a:ln>
              <a:solidFill>
                <a:schemeClr val="bg1"/>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a:t>
          </a:fld>
          <a:endParaRPr kumimoji="0" lang="en-US" sz="2800" b="1"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6</xdr:col>
      <xdr:colOff>205084</xdr:colOff>
      <xdr:row>36</xdr:row>
      <xdr:rowOff>24936</xdr:rowOff>
    </xdr:from>
    <xdr:to>
      <xdr:col>12</xdr:col>
      <xdr:colOff>308685</xdr:colOff>
      <xdr:row>39</xdr:row>
      <xdr:rowOff>128547</xdr:rowOff>
    </xdr:to>
    <xdr:sp macro="" textlink="">
      <xdr:nvSpPr>
        <xdr:cNvPr id="13" name="TextBox 12">
          <a:extLst>
            <a:ext uri="{FF2B5EF4-FFF2-40B4-BE49-F238E27FC236}">
              <a16:creationId xmlns:a16="http://schemas.microsoft.com/office/drawing/2014/main" id="{56EECE78-3D1F-4D03-8622-3BDF2D1929C2}"/>
            </a:ext>
          </a:extLst>
        </xdr:cNvPr>
        <xdr:cNvSpPr txBox="1"/>
      </xdr:nvSpPr>
      <xdr:spPr>
        <a:xfrm>
          <a:off x="3829230" y="6715668"/>
          <a:ext cx="3727748" cy="6611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i="0" u="none" strike="noStrike">
              <a:solidFill>
                <a:schemeClr val="bg1"/>
              </a:solidFill>
              <a:effectLst/>
              <a:latin typeface="Aptos Narrow" panose="020B0004020202020204" pitchFamily="34" charset="0"/>
            </a:rPr>
            <a:t>Communication</a:t>
          </a:r>
          <a:r>
            <a:rPr lang="en-US" sz="3200" b="1">
              <a:solidFill>
                <a:schemeClr val="bg1"/>
              </a:solidFill>
              <a:effectLst/>
            </a:rPr>
            <a:t> </a:t>
          </a:r>
          <a:r>
            <a:rPr lang="en-US" sz="1600" b="1">
              <a:solidFill>
                <a:schemeClr val="bg1"/>
              </a:solidFill>
              <a:latin typeface="+mn-lt"/>
              <a:ea typeface="+mn-ea"/>
              <a:cs typeface="+mn-cs"/>
            </a:rPr>
            <a:t> </a:t>
          </a:r>
        </a:p>
      </xdr:txBody>
    </xdr:sp>
    <xdr:clientData/>
  </xdr:twoCellAnchor>
  <xdr:twoCellAnchor>
    <xdr:from>
      <xdr:col>6</xdr:col>
      <xdr:colOff>549142</xdr:colOff>
      <xdr:row>41</xdr:row>
      <xdr:rowOff>28217</xdr:rowOff>
    </xdr:from>
    <xdr:to>
      <xdr:col>10</xdr:col>
      <xdr:colOff>481177</xdr:colOff>
      <xdr:row>43</xdr:row>
      <xdr:rowOff>179264</xdr:rowOff>
    </xdr:to>
    <xdr:sp macro="" textlink="">
      <xdr:nvSpPr>
        <xdr:cNvPr id="18" name="TextBox 17">
          <a:extLst>
            <a:ext uri="{FF2B5EF4-FFF2-40B4-BE49-F238E27FC236}">
              <a16:creationId xmlns:a16="http://schemas.microsoft.com/office/drawing/2014/main" id="{D7FF1257-0981-4156-8F02-584F249228C1}"/>
            </a:ext>
          </a:extLst>
        </xdr:cNvPr>
        <xdr:cNvSpPr txBox="1"/>
      </xdr:nvSpPr>
      <xdr:spPr>
        <a:xfrm>
          <a:off x="4173288" y="7648217"/>
          <a:ext cx="2348133" cy="5227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3200" b="1" i="0" u="none" strike="noStrike">
              <a:solidFill>
                <a:schemeClr val="bg1"/>
              </a:solidFill>
              <a:effectLst/>
              <a:latin typeface="Aptos Narrow" panose="020B0004020202020204" pitchFamily="34" charset="0"/>
            </a:rPr>
            <a:t>Design</a:t>
          </a:r>
          <a:r>
            <a:rPr lang="en-US" sz="2800" b="1">
              <a:solidFill>
                <a:schemeClr val="bg1"/>
              </a:solidFill>
              <a:effectLst/>
            </a:rPr>
            <a:t> </a:t>
          </a:r>
          <a:r>
            <a:rPr lang="en-US" sz="1100" b="1">
              <a:solidFill>
                <a:schemeClr val="bg1"/>
              </a:solidFill>
              <a:latin typeface="+mn-lt"/>
              <a:ea typeface="+mn-ea"/>
              <a:cs typeface="+mn-cs"/>
            </a:rPr>
            <a:t> </a:t>
          </a:r>
        </a:p>
      </xdr:txBody>
    </xdr:sp>
    <xdr:clientData/>
  </xdr:twoCellAnchor>
  <xdr:twoCellAnchor>
    <xdr:from>
      <xdr:col>6</xdr:col>
      <xdr:colOff>517700</xdr:colOff>
      <xdr:row>45</xdr:row>
      <xdr:rowOff>162954</xdr:rowOff>
    </xdr:from>
    <xdr:to>
      <xdr:col>10</xdr:col>
      <xdr:colOff>434747</xdr:colOff>
      <xdr:row>48</xdr:row>
      <xdr:rowOff>92612</xdr:rowOff>
    </xdr:to>
    <xdr:sp macro="" textlink="">
      <xdr:nvSpPr>
        <xdr:cNvPr id="19" name="TextBox 18">
          <a:extLst>
            <a:ext uri="{FF2B5EF4-FFF2-40B4-BE49-F238E27FC236}">
              <a16:creationId xmlns:a16="http://schemas.microsoft.com/office/drawing/2014/main" id="{FC8D9247-409D-41F3-A7B5-2B8EEA11B18B}"/>
            </a:ext>
          </a:extLst>
        </xdr:cNvPr>
        <xdr:cNvSpPr txBox="1"/>
      </xdr:nvSpPr>
      <xdr:spPr>
        <a:xfrm>
          <a:off x="4141846" y="8526369"/>
          <a:ext cx="2333145" cy="487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3200" b="1" i="0" u="none" strike="noStrike">
              <a:solidFill>
                <a:schemeClr val="bg1"/>
              </a:solidFill>
              <a:effectLst/>
              <a:latin typeface="Aptos Narrow" panose="020B0004020202020204" pitchFamily="34" charset="0"/>
            </a:rPr>
            <a:t>Excel</a:t>
          </a:r>
          <a:r>
            <a:rPr lang="en-US" sz="2800" b="1">
              <a:solidFill>
                <a:schemeClr val="bg1"/>
              </a:solidFill>
              <a:effectLst/>
            </a:rPr>
            <a:t> </a:t>
          </a:r>
          <a:r>
            <a:rPr lang="en-US" sz="1100" b="1">
              <a:solidFill>
                <a:schemeClr val="bg1"/>
              </a:solidFill>
              <a:latin typeface="+mn-lt"/>
              <a:ea typeface="+mn-ea"/>
              <a:cs typeface="+mn-cs"/>
            </a:rPr>
            <a:t> </a:t>
          </a:r>
        </a:p>
      </xdr:txBody>
    </xdr:sp>
    <xdr:clientData/>
  </xdr:twoCellAnchor>
  <xdr:twoCellAnchor>
    <xdr:from>
      <xdr:col>6</xdr:col>
      <xdr:colOff>574118</xdr:colOff>
      <xdr:row>49</xdr:row>
      <xdr:rowOff>176230</xdr:rowOff>
    </xdr:from>
    <xdr:to>
      <xdr:col>10</xdr:col>
      <xdr:colOff>496478</xdr:colOff>
      <xdr:row>52</xdr:row>
      <xdr:rowOff>118048</xdr:rowOff>
    </xdr:to>
    <xdr:sp macro="" textlink="">
      <xdr:nvSpPr>
        <xdr:cNvPr id="20" name="TextBox 19">
          <a:extLst>
            <a:ext uri="{FF2B5EF4-FFF2-40B4-BE49-F238E27FC236}">
              <a16:creationId xmlns:a16="http://schemas.microsoft.com/office/drawing/2014/main" id="{F4EAA00A-9F0A-4BEC-A8DA-3D9FF9ECC257}"/>
            </a:ext>
          </a:extLst>
        </xdr:cNvPr>
        <xdr:cNvSpPr txBox="1"/>
      </xdr:nvSpPr>
      <xdr:spPr>
        <a:xfrm>
          <a:off x="4198264" y="9283059"/>
          <a:ext cx="2338458" cy="4993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2800" b="1" i="0" u="none" strike="noStrike">
              <a:solidFill>
                <a:schemeClr val="bg1"/>
              </a:solidFill>
              <a:effectLst/>
              <a:latin typeface="Aptos Narrow" panose="020B0004020202020204" pitchFamily="34" charset="0"/>
            </a:rPr>
            <a:t>Management</a:t>
          </a:r>
          <a:r>
            <a:rPr lang="en-US" sz="2800" b="1">
              <a:solidFill>
                <a:schemeClr val="bg1"/>
              </a:solidFill>
              <a:effectLst/>
            </a:rPr>
            <a:t> </a:t>
          </a:r>
          <a:endParaRPr lang="en-US" sz="1400" b="1">
            <a:solidFill>
              <a:schemeClr val="bg1"/>
            </a:solidFill>
            <a:latin typeface="+mn-lt"/>
            <a:ea typeface="+mn-ea"/>
            <a:cs typeface="+mn-cs"/>
          </a:endParaRPr>
        </a:p>
      </xdr:txBody>
    </xdr:sp>
    <xdr:clientData/>
  </xdr:twoCellAnchor>
  <xdr:twoCellAnchor>
    <xdr:from>
      <xdr:col>6</xdr:col>
      <xdr:colOff>514358</xdr:colOff>
      <xdr:row>54</xdr:row>
      <xdr:rowOff>118724</xdr:rowOff>
    </xdr:from>
    <xdr:to>
      <xdr:col>10</xdr:col>
      <xdr:colOff>449156</xdr:colOff>
      <xdr:row>57</xdr:row>
      <xdr:rowOff>38693</xdr:rowOff>
    </xdr:to>
    <xdr:sp macro="" textlink="">
      <xdr:nvSpPr>
        <xdr:cNvPr id="21" name="TextBox 20">
          <a:extLst>
            <a:ext uri="{FF2B5EF4-FFF2-40B4-BE49-F238E27FC236}">
              <a16:creationId xmlns:a16="http://schemas.microsoft.com/office/drawing/2014/main" id="{F240EA33-A314-4C8A-A610-552853152E46}"/>
            </a:ext>
          </a:extLst>
        </xdr:cNvPr>
        <xdr:cNvSpPr txBox="1"/>
      </xdr:nvSpPr>
      <xdr:spPr>
        <a:xfrm>
          <a:off x="4138504" y="10154822"/>
          <a:ext cx="2350896" cy="4775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2800" b="1" i="0" u="none" strike="noStrike">
              <a:solidFill>
                <a:schemeClr val="bg1"/>
              </a:solidFill>
              <a:effectLst/>
              <a:latin typeface="Aptos Narrow" panose="020B0004020202020204" pitchFamily="34" charset="0"/>
            </a:rPr>
            <a:t>Python</a:t>
          </a:r>
          <a:r>
            <a:rPr lang="en-US" sz="2800" b="1">
              <a:solidFill>
                <a:schemeClr val="bg1"/>
              </a:solidFill>
              <a:effectLst/>
            </a:rPr>
            <a:t> </a:t>
          </a:r>
          <a:r>
            <a:rPr lang="en-US" sz="1100" b="1">
              <a:solidFill>
                <a:schemeClr val="bg1"/>
              </a:solidFill>
              <a:latin typeface="+mn-lt"/>
              <a:ea typeface="+mn-ea"/>
              <a:cs typeface="+mn-cs"/>
            </a:rPr>
            <a:t> </a:t>
          </a:r>
        </a:p>
      </xdr:txBody>
    </xdr:sp>
    <xdr:clientData/>
  </xdr:twoCellAnchor>
  <xdr:twoCellAnchor>
    <xdr:from>
      <xdr:col>12</xdr:col>
      <xdr:colOff>104851</xdr:colOff>
      <xdr:row>36</xdr:row>
      <xdr:rowOff>28323</xdr:rowOff>
    </xdr:from>
    <xdr:to>
      <xdr:col>15</xdr:col>
      <xdr:colOff>336879</xdr:colOff>
      <xdr:row>39</xdr:row>
      <xdr:rowOff>134549</xdr:rowOff>
    </xdr:to>
    <xdr:sp macro="" textlink="PivotTable!C45">
      <xdr:nvSpPr>
        <xdr:cNvPr id="22" name="TextBox 21">
          <a:extLst>
            <a:ext uri="{FF2B5EF4-FFF2-40B4-BE49-F238E27FC236}">
              <a16:creationId xmlns:a16="http://schemas.microsoft.com/office/drawing/2014/main" id="{978BF2C6-1D38-4371-A975-FC16CB24F6C7}"/>
            </a:ext>
          </a:extLst>
        </xdr:cNvPr>
        <xdr:cNvSpPr txBox="1"/>
      </xdr:nvSpPr>
      <xdr:spPr>
        <a:xfrm>
          <a:off x="7353144" y="6719055"/>
          <a:ext cx="2044101" cy="663787"/>
        </a:xfrm>
        <a:prstGeom prst="roundRect">
          <a:avLst>
            <a:gd name="adj" fmla="val 50000"/>
          </a:avLst>
        </a:prstGeom>
        <a:solidFill>
          <a:srgbClr val="E5B244"/>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16196A7-1676-4983-A487-59AE5CD7BAF5}" type="TxLink">
            <a:rPr lang="en-US" sz="3600" b="1" i="0" u="none" strike="noStrike">
              <a:solidFill>
                <a:schemeClr val="bg1"/>
              </a:solidFill>
              <a:effectLst/>
              <a:latin typeface="Aptos Narrow"/>
            </a:rPr>
            <a:pPr marL="0" indent="0" algn="ctr"/>
            <a:t>12</a:t>
          </a:fld>
          <a:endParaRPr lang="en-US" sz="4400">
            <a:solidFill>
              <a:schemeClr val="bg1"/>
            </a:solidFill>
            <a:latin typeface="+mn-lt"/>
            <a:ea typeface="+mn-ea"/>
            <a:cs typeface="+mn-cs"/>
          </a:endParaRPr>
        </a:p>
      </xdr:txBody>
    </xdr:sp>
    <xdr:clientData/>
  </xdr:twoCellAnchor>
  <xdr:twoCellAnchor>
    <xdr:from>
      <xdr:col>12</xdr:col>
      <xdr:colOff>84439</xdr:colOff>
      <xdr:row>40</xdr:row>
      <xdr:rowOff>119107</xdr:rowOff>
    </xdr:from>
    <xdr:to>
      <xdr:col>15</xdr:col>
      <xdr:colOff>337021</xdr:colOff>
      <xdr:row>44</xdr:row>
      <xdr:rowOff>4086</xdr:rowOff>
    </xdr:to>
    <xdr:sp macro="" textlink="PivotTable!C46">
      <xdr:nvSpPr>
        <xdr:cNvPr id="23" name="TextBox 22">
          <a:extLst>
            <a:ext uri="{FF2B5EF4-FFF2-40B4-BE49-F238E27FC236}">
              <a16:creationId xmlns:a16="http://schemas.microsoft.com/office/drawing/2014/main" id="{E4799540-0DAD-4835-BE5E-75B6DB9409E6}"/>
            </a:ext>
          </a:extLst>
        </xdr:cNvPr>
        <xdr:cNvSpPr txBox="1"/>
      </xdr:nvSpPr>
      <xdr:spPr>
        <a:xfrm>
          <a:off x="7332732" y="7553253"/>
          <a:ext cx="2064655" cy="628394"/>
        </a:xfrm>
        <a:prstGeom prst="roundRect">
          <a:avLst>
            <a:gd name="adj" fmla="val 50000"/>
          </a:avLst>
        </a:prstGeom>
        <a:solidFill>
          <a:srgbClr val="E5B244"/>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816AA6F-120F-43B9-8251-ABE8EAD472B8}" type="TxLink">
            <a:rPr lang="en-US" sz="3600" b="1" i="0" u="none" strike="noStrike">
              <a:solidFill>
                <a:schemeClr val="bg1"/>
              </a:solidFill>
              <a:effectLst/>
              <a:latin typeface="Aptos Narrow"/>
              <a:ea typeface="+mn-ea"/>
              <a:cs typeface="+mn-cs"/>
            </a:rPr>
            <a:pPr marL="0" indent="0" algn="ctr"/>
            <a:t>11</a:t>
          </a:fld>
          <a:endParaRPr lang="en-US" sz="3600" b="1" i="0" u="none" strike="noStrike">
            <a:solidFill>
              <a:schemeClr val="bg1"/>
            </a:solidFill>
            <a:effectLst/>
            <a:latin typeface="Aptos Narrow"/>
            <a:ea typeface="+mn-ea"/>
            <a:cs typeface="+mn-cs"/>
          </a:endParaRPr>
        </a:p>
      </xdr:txBody>
    </xdr:sp>
    <xdr:clientData/>
  </xdr:twoCellAnchor>
  <xdr:twoCellAnchor>
    <xdr:from>
      <xdr:col>12</xdr:col>
      <xdr:colOff>36290</xdr:colOff>
      <xdr:row>45</xdr:row>
      <xdr:rowOff>57443</xdr:rowOff>
    </xdr:from>
    <xdr:to>
      <xdr:col>15</xdr:col>
      <xdr:colOff>316507</xdr:colOff>
      <xdr:row>48</xdr:row>
      <xdr:rowOff>124550</xdr:rowOff>
    </xdr:to>
    <xdr:sp macro="" textlink="PivotTable!C47">
      <xdr:nvSpPr>
        <xdr:cNvPr id="24" name="TextBox 23">
          <a:extLst>
            <a:ext uri="{FF2B5EF4-FFF2-40B4-BE49-F238E27FC236}">
              <a16:creationId xmlns:a16="http://schemas.microsoft.com/office/drawing/2014/main" id="{1779C897-8E72-4182-B7B6-2194B0C68746}"/>
            </a:ext>
          </a:extLst>
        </xdr:cNvPr>
        <xdr:cNvSpPr txBox="1"/>
      </xdr:nvSpPr>
      <xdr:spPr>
        <a:xfrm>
          <a:off x="7284583" y="8420858"/>
          <a:ext cx="2092290" cy="624668"/>
        </a:xfrm>
        <a:prstGeom prst="roundRect">
          <a:avLst>
            <a:gd name="adj" fmla="val 50000"/>
          </a:avLst>
        </a:prstGeom>
        <a:solidFill>
          <a:srgbClr val="E5B244"/>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C577F1D-7E20-4F67-93CB-36D2553D0F0D}" type="TxLink">
            <a:rPr lang="en-US" sz="3600" b="1" i="0" u="none" strike="noStrike">
              <a:solidFill>
                <a:schemeClr val="bg1"/>
              </a:solidFill>
              <a:effectLst/>
              <a:latin typeface="Aptos Narrow"/>
              <a:ea typeface="+mn-ea"/>
              <a:cs typeface="+mn-cs"/>
            </a:rPr>
            <a:pPr marL="0" indent="0" algn="ctr"/>
            <a:t>7</a:t>
          </a:fld>
          <a:endParaRPr lang="en-US" sz="3600" b="1" i="0" u="none" strike="noStrike">
            <a:solidFill>
              <a:schemeClr val="bg1"/>
            </a:solidFill>
            <a:effectLst/>
            <a:latin typeface="Aptos Narrow"/>
            <a:ea typeface="+mn-ea"/>
            <a:cs typeface="+mn-cs"/>
          </a:endParaRPr>
        </a:p>
      </xdr:txBody>
    </xdr:sp>
    <xdr:clientData/>
  </xdr:twoCellAnchor>
  <xdr:twoCellAnchor>
    <xdr:from>
      <xdr:col>12</xdr:col>
      <xdr:colOff>59285</xdr:colOff>
      <xdr:row>49</xdr:row>
      <xdr:rowOff>125053</xdr:rowOff>
    </xdr:from>
    <xdr:to>
      <xdr:col>15</xdr:col>
      <xdr:colOff>271085</xdr:colOff>
      <xdr:row>52</xdr:row>
      <xdr:rowOff>178677</xdr:rowOff>
    </xdr:to>
    <xdr:sp macro="" textlink="PivotTable!C48">
      <xdr:nvSpPr>
        <xdr:cNvPr id="25" name="TextBox 24">
          <a:extLst>
            <a:ext uri="{FF2B5EF4-FFF2-40B4-BE49-F238E27FC236}">
              <a16:creationId xmlns:a16="http://schemas.microsoft.com/office/drawing/2014/main" id="{8ED4C4CA-9184-4752-8D32-2C16CD36B9CD}"/>
            </a:ext>
          </a:extLst>
        </xdr:cNvPr>
        <xdr:cNvSpPr txBox="1"/>
      </xdr:nvSpPr>
      <xdr:spPr>
        <a:xfrm>
          <a:off x="7307578" y="9231882"/>
          <a:ext cx="2023873" cy="611185"/>
        </a:xfrm>
        <a:prstGeom prst="roundRect">
          <a:avLst>
            <a:gd name="adj" fmla="val 50000"/>
          </a:avLst>
        </a:prstGeom>
        <a:solidFill>
          <a:srgbClr val="E5B244"/>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689FD41-7D79-4643-8ED0-716E5FACAD87}" type="TxLink">
            <a:rPr lang="en-US" sz="3600" b="1" i="0" u="none" strike="noStrike">
              <a:solidFill>
                <a:schemeClr val="bg1"/>
              </a:solidFill>
              <a:effectLst/>
              <a:latin typeface="Aptos Narrow"/>
              <a:ea typeface="+mn-ea"/>
              <a:cs typeface="+mn-cs"/>
            </a:rPr>
            <a:pPr marL="0" indent="0" algn="ctr"/>
            <a:t>11</a:t>
          </a:fld>
          <a:endParaRPr lang="en-US" sz="3600" b="1" i="0" u="none" strike="noStrike">
            <a:solidFill>
              <a:schemeClr val="bg1"/>
            </a:solidFill>
            <a:effectLst/>
            <a:latin typeface="Aptos Narrow"/>
            <a:ea typeface="+mn-ea"/>
            <a:cs typeface="+mn-cs"/>
          </a:endParaRPr>
        </a:p>
      </xdr:txBody>
    </xdr:sp>
    <xdr:clientData/>
  </xdr:twoCellAnchor>
  <xdr:twoCellAnchor>
    <xdr:from>
      <xdr:col>12</xdr:col>
      <xdr:colOff>8583</xdr:colOff>
      <xdr:row>54</xdr:row>
      <xdr:rowOff>100652</xdr:rowOff>
    </xdr:from>
    <xdr:to>
      <xdr:col>15</xdr:col>
      <xdr:colOff>271437</xdr:colOff>
      <xdr:row>57</xdr:row>
      <xdr:rowOff>90402</xdr:rowOff>
    </xdr:to>
    <xdr:sp macro="" textlink="PivotTable!C49">
      <xdr:nvSpPr>
        <xdr:cNvPr id="26" name="TextBox 25">
          <a:extLst>
            <a:ext uri="{FF2B5EF4-FFF2-40B4-BE49-F238E27FC236}">
              <a16:creationId xmlns:a16="http://schemas.microsoft.com/office/drawing/2014/main" id="{6D97B22E-C80C-4FFA-B302-409B2F775FA0}"/>
            </a:ext>
          </a:extLst>
        </xdr:cNvPr>
        <xdr:cNvSpPr txBox="1"/>
      </xdr:nvSpPr>
      <xdr:spPr>
        <a:xfrm>
          <a:off x="7256876" y="10136750"/>
          <a:ext cx="2074927" cy="547311"/>
        </a:xfrm>
        <a:prstGeom prst="roundRect">
          <a:avLst>
            <a:gd name="adj" fmla="val 50000"/>
          </a:avLst>
        </a:prstGeom>
        <a:solidFill>
          <a:srgbClr val="E5B244"/>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AA7FB20-3FCA-4D0D-8415-1C31E059197C}" type="TxLink">
            <a:rPr lang="en-US" sz="3600" b="1" i="0" u="none" strike="noStrike">
              <a:solidFill>
                <a:schemeClr val="bg1"/>
              </a:solidFill>
              <a:effectLst/>
              <a:latin typeface="Aptos Narrow"/>
              <a:ea typeface="+mn-ea"/>
              <a:cs typeface="+mn-cs"/>
            </a:rPr>
            <a:pPr marL="0" indent="0" algn="ctr"/>
            <a:t>9</a:t>
          </a:fld>
          <a:endParaRPr lang="en-US" sz="3600" b="1" i="0" u="none" strike="noStrike">
            <a:solidFill>
              <a:schemeClr val="bg1"/>
            </a:solidFill>
            <a:effectLst/>
            <a:latin typeface="Aptos Narrow"/>
            <a:ea typeface="+mn-ea"/>
            <a:cs typeface="+mn-cs"/>
          </a:endParaRPr>
        </a:p>
      </xdr:txBody>
    </xdr:sp>
    <xdr:clientData/>
  </xdr:twoCellAnchor>
  <xdr:twoCellAnchor>
    <xdr:from>
      <xdr:col>6</xdr:col>
      <xdr:colOff>322718</xdr:colOff>
      <xdr:row>25</xdr:row>
      <xdr:rowOff>33988</xdr:rowOff>
    </xdr:from>
    <xdr:to>
      <xdr:col>15</xdr:col>
      <xdr:colOff>315383</xdr:colOff>
      <xdr:row>36</xdr:row>
      <xdr:rowOff>103844</xdr:rowOff>
    </xdr:to>
    <xdr:sp macro="" textlink="">
      <xdr:nvSpPr>
        <xdr:cNvPr id="27" name="TextBox 26">
          <a:extLst>
            <a:ext uri="{FF2B5EF4-FFF2-40B4-BE49-F238E27FC236}">
              <a16:creationId xmlns:a16="http://schemas.microsoft.com/office/drawing/2014/main" id="{3874DC87-E2E4-44B4-978B-5519647F2F96}"/>
            </a:ext>
          </a:extLst>
        </xdr:cNvPr>
        <xdr:cNvSpPr txBox="1"/>
      </xdr:nvSpPr>
      <xdr:spPr>
        <a:xfrm>
          <a:off x="3946864" y="4680329"/>
          <a:ext cx="5428885" cy="211424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3600" b="1" i="0" u="none" strike="noStrike">
              <a:solidFill>
                <a:srgbClr val="E5B244"/>
              </a:solidFill>
              <a:effectLst/>
              <a:latin typeface="Aptos Narrow" panose="020B0004020202020204" pitchFamily="34" charset="0"/>
            </a:rPr>
            <a:t>Skills </a:t>
          </a:r>
        </a:p>
        <a:p>
          <a:pPr marL="0" indent="0" algn="l"/>
          <a:r>
            <a:rPr lang="en-US" sz="3600" b="1" i="0" u="none" strike="noStrike">
              <a:solidFill>
                <a:srgbClr val="E5B244"/>
              </a:solidFill>
              <a:effectLst/>
              <a:latin typeface="Aptos Narrow" panose="020B0004020202020204" pitchFamily="34" charset="0"/>
            </a:rPr>
            <a:t>BreakDown</a:t>
          </a:r>
          <a:r>
            <a:rPr lang="en-US" sz="3600" b="1">
              <a:solidFill>
                <a:srgbClr val="E5B244"/>
              </a:solidFill>
              <a:effectLst/>
            </a:rPr>
            <a:t> </a:t>
          </a:r>
          <a:r>
            <a:rPr lang="en-US" sz="1800" b="1">
              <a:solidFill>
                <a:srgbClr val="E5B244"/>
              </a:solidFill>
              <a:latin typeface="+mn-lt"/>
              <a:ea typeface="+mn-ea"/>
              <a:cs typeface="+mn-cs"/>
            </a:rPr>
            <a:t> </a:t>
          </a:r>
        </a:p>
      </xdr:txBody>
    </xdr:sp>
    <xdr:clientData/>
  </xdr:twoCellAnchor>
  <xdr:twoCellAnchor editAs="oneCell">
    <xdr:from>
      <xdr:col>10</xdr:col>
      <xdr:colOff>579085</xdr:colOff>
      <xdr:row>19</xdr:row>
      <xdr:rowOff>19421</xdr:rowOff>
    </xdr:from>
    <xdr:to>
      <xdr:col>16</xdr:col>
      <xdr:colOff>205971</xdr:colOff>
      <xdr:row>36</xdr:row>
      <xdr:rowOff>84485</xdr:rowOff>
    </xdr:to>
    <xdr:pic>
      <xdr:nvPicPr>
        <xdr:cNvPr id="48" name="Picture 47">
          <a:extLst>
            <a:ext uri="{FF2B5EF4-FFF2-40B4-BE49-F238E27FC236}">
              <a16:creationId xmlns:a16="http://schemas.microsoft.com/office/drawing/2014/main" id="{052CCD40-C5D4-4DE4-192C-D266B7508FA2}"/>
            </a:ext>
          </a:extLst>
        </xdr:cNvPr>
        <xdr:cNvPicPr>
          <a:picLocks noChangeAspect="1"/>
        </xdr:cNvPicPr>
      </xdr:nvPicPr>
      <xdr:blipFill>
        <a:blip xmlns:r="http://schemas.openxmlformats.org/officeDocument/2006/relationships" r:embed="rId6"/>
        <a:stretch>
          <a:fillRect/>
        </a:stretch>
      </xdr:blipFill>
      <xdr:spPr>
        <a:xfrm>
          <a:off x="6702299" y="3466564"/>
          <a:ext cx="3300815" cy="3149350"/>
        </a:xfrm>
        <a:prstGeom prst="rect">
          <a:avLst/>
        </a:prstGeom>
      </xdr:spPr>
    </xdr:pic>
    <xdr:clientData/>
  </xdr:twoCellAnchor>
  <xdr:twoCellAnchor>
    <xdr:from>
      <xdr:col>16</xdr:col>
      <xdr:colOff>341964</xdr:colOff>
      <xdr:row>23</xdr:row>
      <xdr:rowOff>9142</xdr:rowOff>
    </xdr:from>
    <xdr:to>
      <xdr:col>24</xdr:col>
      <xdr:colOff>596248</xdr:colOff>
      <xdr:row>27</xdr:row>
      <xdr:rowOff>136072</xdr:rowOff>
    </xdr:to>
    <xdr:sp macro="" textlink="">
      <xdr:nvSpPr>
        <xdr:cNvPr id="49" name="Rectangle: Rounded Corners 48">
          <a:extLst>
            <a:ext uri="{FF2B5EF4-FFF2-40B4-BE49-F238E27FC236}">
              <a16:creationId xmlns:a16="http://schemas.microsoft.com/office/drawing/2014/main" id="{2A6DE17E-FFF4-462D-A8C1-48ABEE5EBC5B}"/>
            </a:ext>
          </a:extLst>
        </xdr:cNvPr>
        <xdr:cNvSpPr/>
      </xdr:nvSpPr>
      <xdr:spPr>
        <a:xfrm>
          <a:off x="10139107" y="4181999"/>
          <a:ext cx="5152855" cy="852644"/>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0">
              <a:solidFill>
                <a:srgbClr val="E5B244"/>
              </a:solidFill>
            </a:rPr>
            <a:t>   Employess</a:t>
          </a:r>
          <a:r>
            <a:rPr lang="en-US" sz="3600" b="1" i="0" baseline="0">
              <a:solidFill>
                <a:srgbClr val="E5B244"/>
              </a:solidFill>
            </a:rPr>
            <a:t> Numbers</a:t>
          </a:r>
          <a:endParaRPr lang="en-US" sz="3600" b="1" i="0">
            <a:solidFill>
              <a:srgbClr val="E5B244"/>
            </a:solidFill>
          </a:endParaRPr>
        </a:p>
      </xdr:txBody>
    </xdr:sp>
    <xdr:clientData/>
  </xdr:twoCellAnchor>
  <xdr:twoCellAnchor>
    <xdr:from>
      <xdr:col>16</xdr:col>
      <xdr:colOff>364132</xdr:colOff>
      <xdr:row>26</xdr:row>
      <xdr:rowOff>12576</xdr:rowOff>
    </xdr:from>
    <xdr:to>
      <xdr:col>19</xdr:col>
      <xdr:colOff>543582</xdr:colOff>
      <xdr:row>34</xdr:row>
      <xdr:rowOff>111108</xdr:rowOff>
    </xdr:to>
    <xdr:sp macro="" textlink="PivotTable!K23">
      <xdr:nvSpPr>
        <xdr:cNvPr id="50" name="Rectangle: Rounded Corners 49">
          <a:extLst>
            <a:ext uri="{FF2B5EF4-FFF2-40B4-BE49-F238E27FC236}">
              <a16:creationId xmlns:a16="http://schemas.microsoft.com/office/drawing/2014/main" id="{87672C2A-C451-4B21-B4A3-4B924B74D86B}"/>
            </a:ext>
          </a:extLst>
        </xdr:cNvPr>
        <xdr:cNvSpPr/>
      </xdr:nvSpPr>
      <xdr:spPr>
        <a:xfrm>
          <a:off x="10028522" y="4844771"/>
          <a:ext cx="1991523" cy="1585361"/>
        </a:xfrm>
        <a:prstGeom prst="roundRect">
          <a:avLst>
            <a:gd name="adj" fmla="val 4946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01EA4-BA48-4AAB-B327-96EAB03BDFE9}" type="TxLink">
            <a:rPr lang="en-US" sz="8000" b="1" i="0" u="none" strike="noStrike">
              <a:solidFill>
                <a:srgbClr val="E5B244"/>
              </a:solidFill>
              <a:latin typeface="Aptos Narrow"/>
            </a:rPr>
            <a:pPr algn="l"/>
            <a:t>50</a:t>
          </a:fld>
          <a:endParaRPr lang="en-US" sz="28700" b="1" i="0">
            <a:solidFill>
              <a:srgbClr val="E5B244"/>
            </a:solidFill>
          </a:endParaRPr>
        </a:p>
      </xdr:txBody>
    </xdr:sp>
    <xdr:clientData/>
  </xdr:twoCellAnchor>
  <xdr:twoCellAnchor editAs="oneCell">
    <xdr:from>
      <xdr:col>18</xdr:col>
      <xdr:colOff>285658</xdr:colOff>
      <xdr:row>24</xdr:row>
      <xdr:rowOff>37977</xdr:rowOff>
    </xdr:from>
    <xdr:to>
      <xdr:col>28</xdr:col>
      <xdr:colOff>50816</xdr:colOff>
      <xdr:row>40</xdr:row>
      <xdr:rowOff>1658</xdr:rowOff>
    </xdr:to>
    <xdr:pic>
      <xdr:nvPicPr>
        <xdr:cNvPr id="51" name="Picture 50">
          <a:extLst>
            <a:ext uri="{FF2B5EF4-FFF2-40B4-BE49-F238E27FC236}">
              <a16:creationId xmlns:a16="http://schemas.microsoft.com/office/drawing/2014/main" id="{55302DD7-5F17-EC91-612D-781CEF92F936}"/>
            </a:ext>
          </a:extLst>
        </xdr:cNvPr>
        <xdr:cNvPicPr>
          <a:picLocks noChangeAspect="1"/>
        </xdr:cNvPicPr>
      </xdr:nvPicPr>
      <xdr:blipFill>
        <a:blip xmlns:r="http://schemas.openxmlformats.org/officeDocument/2006/relationships" r:embed="rId7"/>
        <a:stretch>
          <a:fillRect/>
        </a:stretch>
      </xdr:blipFill>
      <xdr:spPr>
        <a:xfrm>
          <a:off x="11307444" y="4392263"/>
          <a:ext cx="5888372" cy="2866538"/>
        </a:xfrm>
        <a:prstGeom prst="rect">
          <a:avLst/>
        </a:prstGeom>
      </xdr:spPr>
    </xdr:pic>
    <xdr:clientData/>
  </xdr:twoCellAnchor>
  <xdr:twoCellAnchor>
    <xdr:from>
      <xdr:col>16</xdr:col>
      <xdr:colOff>337611</xdr:colOff>
      <xdr:row>34</xdr:row>
      <xdr:rowOff>115203</xdr:rowOff>
    </xdr:from>
    <xdr:to>
      <xdr:col>24</xdr:col>
      <xdr:colOff>588335</xdr:colOff>
      <xdr:row>37</xdr:row>
      <xdr:rowOff>70419</xdr:rowOff>
    </xdr:to>
    <xdr:sp macro="" textlink="">
      <xdr:nvSpPr>
        <xdr:cNvPr id="52" name="Rectangle: Rounded Corners 51">
          <a:extLst>
            <a:ext uri="{FF2B5EF4-FFF2-40B4-BE49-F238E27FC236}">
              <a16:creationId xmlns:a16="http://schemas.microsoft.com/office/drawing/2014/main" id="{1F4DC082-5221-499D-B156-6DCC494E877A}"/>
            </a:ext>
          </a:extLst>
        </xdr:cNvPr>
        <xdr:cNvSpPr/>
      </xdr:nvSpPr>
      <xdr:spPr>
        <a:xfrm>
          <a:off x="10002001" y="6434227"/>
          <a:ext cx="5082919" cy="51277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a:solidFill>
                <a:srgbClr val="E5B244"/>
              </a:solidFill>
            </a:rPr>
            <a:t>Total</a:t>
          </a:r>
          <a:r>
            <a:rPr lang="en-US" sz="3200" b="1" i="0" baseline="0">
              <a:solidFill>
                <a:srgbClr val="E5B244"/>
              </a:solidFill>
            </a:rPr>
            <a:t> Employess</a:t>
          </a:r>
          <a:endParaRPr lang="en-US" sz="3200" b="1" i="0">
            <a:solidFill>
              <a:srgbClr val="E5B244"/>
            </a:solidFill>
          </a:endParaRPr>
        </a:p>
      </xdr:txBody>
    </xdr:sp>
    <xdr:clientData/>
  </xdr:twoCellAnchor>
  <xdr:twoCellAnchor>
    <xdr:from>
      <xdr:col>16</xdr:col>
      <xdr:colOff>220372</xdr:colOff>
      <xdr:row>37</xdr:row>
      <xdr:rowOff>167736</xdr:rowOff>
    </xdr:from>
    <xdr:to>
      <xdr:col>20</xdr:col>
      <xdr:colOff>569649</xdr:colOff>
      <xdr:row>41</xdr:row>
      <xdr:rowOff>173228</xdr:rowOff>
    </xdr:to>
    <xdr:sp macro="" textlink="">
      <xdr:nvSpPr>
        <xdr:cNvPr id="53" name="Rectangle: Rounded Corners 52">
          <a:extLst>
            <a:ext uri="{FF2B5EF4-FFF2-40B4-BE49-F238E27FC236}">
              <a16:creationId xmlns:a16="http://schemas.microsoft.com/office/drawing/2014/main" id="{020A3B5C-129A-4B3C-9BCC-7FF9A5DEAFAB}"/>
            </a:ext>
          </a:extLst>
        </xdr:cNvPr>
        <xdr:cNvSpPr/>
      </xdr:nvSpPr>
      <xdr:spPr>
        <a:xfrm>
          <a:off x="9884762" y="7044321"/>
          <a:ext cx="2765375" cy="74890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a:solidFill>
                <a:srgbClr val="E5B244"/>
              </a:solidFill>
            </a:rPr>
            <a:t>Males</a:t>
          </a:r>
        </a:p>
      </xdr:txBody>
    </xdr:sp>
    <xdr:clientData/>
  </xdr:twoCellAnchor>
  <xdr:twoCellAnchor>
    <xdr:from>
      <xdr:col>20</xdr:col>
      <xdr:colOff>529783</xdr:colOff>
      <xdr:row>37</xdr:row>
      <xdr:rowOff>105766</xdr:rowOff>
    </xdr:from>
    <xdr:to>
      <xdr:col>25</xdr:col>
      <xdr:colOff>192827</xdr:colOff>
      <xdr:row>41</xdr:row>
      <xdr:rowOff>90402</xdr:rowOff>
    </xdr:to>
    <xdr:sp macro="" textlink="">
      <xdr:nvSpPr>
        <xdr:cNvPr id="54" name="Rectangle: Rounded Corners 53">
          <a:extLst>
            <a:ext uri="{FF2B5EF4-FFF2-40B4-BE49-F238E27FC236}">
              <a16:creationId xmlns:a16="http://schemas.microsoft.com/office/drawing/2014/main" id="{C01F7ED3-98C4-4C74-BA49-7F88C6D162AC}"/>
            </a:ext>
          </a:extLst>
        </xdr:cNvPr>
        <xdr:cNvSpPr/>
      </xdr:nvSpPr>
      <xdr:spPr>
        <a:xfrm>
          <a:off x="12610271" y="6982351"/>
          <a:ext cx="2683166" cy="728051"/>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a:solidFill>
                <a:srgbClr val="E5B244"/>
              </a:solidFill>
            </a:rPr>
            <a:t>Females</a:t>
          </a:r>
        </a:p>
      </xdr:txBody>
    </xdr:sp>
    <xdr:clientData/>
  </xdr:twoCellAnchor>
  <xdr:twoCellAnchor>
    <xdr:from>
      <xdr:col>15</xdr:col>
      <xdr:colOff>215650</xdr:colOff>
      <xdr:row>41</xdr:row>
      <xdr:rowOff>54589</xdr:rowOff>
    </xdr:from>
    <xdr:to>
      <xdr:col>21</xdr:col>
      <xdr:colOff>303487</xdr:colOff>
      <xdr:row>52</xdr:row>
      <xdr:rowOff>69696</xdr:rowOff>
    </xdr:to>
    <xdr:graphicFrame macro="">
      <xdr:nvGraphicFramePr>
        <xdr:cNvPr id="55" name="Chart 54">
          <a:extLst>
            <a:ext uri="{FF2B5EF4-FFF2-40B4-BE49-F238E27FC236}">
              <a16:creationId xmlns:a16="http://schemas.microsoft.com/office/drawing/2014/main" id="{1D5D6D4F-3D84-4CA6-9C07-384AEACB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591899</xdr:colOff>
      <xdr:row>41</xdr:row>
      <xdr:rowOff>55198</xdr:rowOff>
    </xdr:from>
    <xdr:to>
      <xdr:col>26</xdr:col>
      <xdr:colOff>113202</xdr:colOff>
      <xdr:row>51</xdr:row>
      <xdr:rowOff>173228</xdr:rowOff>
    </xdr:to>
    <xdr:graphicFrame macro="">
      <xdr:nvGraphicFramePr>
        <xdr:cNvPr id="56" name="Chart 55">
          <a:extLst>
            <a:ext uri="{FF2B5EF4-FFF2-40B4-BE49-F238E27FC236}">
              <a16:creationId xmlns:a16="http://schemas.microsoft.com/office/drawing/2014/main" id="{07011075-6AA1-444F-A116-42161D149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124293</xdr:colOff>
      <xdr:row>44</xdr:row>
      <xdr:rowOff>133778</xdr:rowOff>
    </xdr:from>
    <xdr:to>
      <xdr:col>20</xdr:col>
      <xdr:colOff>473570</xdr:colOff>
      <xdr:row>48</xdr:row>
      <xdr:rowOff>139270</xdr:rowOff>
    </xdr:to>
    <xdr:sp macro="" textlink="">
      <xdr:nvSpPr>
        <xdr:cNvPr id="57" name="Rectangle: Rounded Corners 56">
          <a:extLst>
            <a:ext uri="{FF2B5EF4-FFF2-40B4-BE49-F238E27FC236}">
              <a16:creationId xmlns:a16="http://schemas.microsoft.com/office/drawing/2014/main" id="{672DB01D-FED3-4E25-81E3-A014D78257F6}"/>
            </a:ext>
          </a:extLst>
        </xdr:cNvPr>
        <xdr:cNvSpPr/>
      </xdr:nvSpPr>
      <xdr:spPr>
        <a:xfrm>
          <a:off x="9788683" y="8311339"/>
          <a:ext cx="2765375" cy="74890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effectLst/>
              <a:latin typeface="Aptos Narrow" panose="020B0004020202020204" pitchFamily="34" charset="0"/>
            </a:rPr>
            <a:t>48%</a:t>
          </a:r>
          <a:r>
            <a:rPr lang="en-US" sz="3200">
              <a:solidFill>
                <a:schemeClr val="bg1"/>
              </a:solidFill>
              <a:effectLst/>
            </a:rPr>
            <a:t> </a:t>
          </a:r>
          <a:endParaRPr lang="en-US" sz="3200" b="1" i="0">
            <a:solidFill>
              <a:schemeClr val="bg1"/>
            </a:solidFill>
          </a:endParaRPr>
        </a:p>
      </xdr:txBody>
    </xdr:sp>
    <xdr:clientData/>
  </xdr:twoCellAnchor>
  <xdr:twoCellAnchor>
    <xdr:from>
      <xdr:col>20</xdr:col>
      <xdr:colOff>549412</xdr:colOff>
      <xdr:row>44</xdr:row>
      <xdr:rowOff>120525</xdr:rowOff>
    </xdr:from>
    <xdr:to>
      <xdr:col>25</xdr:col>
      <xdr:colOff>291106</xdr:colOff>
      <xdr:row>48</xdr:row>
      <xdr:rowOff>126017</xdr:rowOff>
    </xdr:to>
    <xdr:sp macro="" textlink="">
      <xdr:nvSpPr>
        <xdr:cNvPr id="58" name="Rectangle: Rounded Corners 57">
          <a:extLst>
            <a:ext uri="{FF2B5EF4-FFF2-40B4-BE49-F238E27FC236}">
              <a16:creationId xmlns:a16="http://schemas.microsoft.com/office/drawing/2014/main" id="{59BEB9AF-4DA2-4787-8015-BF5791F2724B}"/>
            </a:ext>
          </a:extLst>
        </xdr:cNvPr>
        <xdr:cNvSpPr/>
      </xdr:nvSpPr>
      <xdr:spPr>
        <a:xfrm>
          <a:off x="12629900" y="8298086"/>
          <a:ext cx="2761816" cy="74890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rgbClr val="E5B244"/>
              </a:solidFill>
              <a:effectLst/>
              <a:latin typeface="Aptos Narrow" panose="020B0004020202020204" pitchFamily="34" charset="0"/>
            </a:rPr>
            <a:t>52%</a:t>
          </a:r>
          <a:r>
            <a:rPr lang="en-US" sz="3200">
              <a:solidFill>
                <a:srgbClr val="E5B244"/>
              </a:solidFill>
              <a:effectLst/>
            </a:rPr>
            <a:t> </a:t>
          </a:r>
          <a:endParaRPr lang="en-US" sz="3200" b="1" i="0">
            <a:solidFill>
              <a:srgbClr val="E5B244"/>
            </a:solidFill>
          </a:endParaRPr>
        </a:p>
      </xdr:txBody>
    </xdr:sp>
    <xdr:clientData/>
  </xdr:twoCellAnchor>
  <xdr:twoCellAnchor>
    <xdr:from>
      <xdr:col>25</xdr:col>
      <xdr:colOff>298475</xdr:colOff>
      <xdr:row>26</xdr:row>
      <xdr:rowOff>160670</xdr:rowOff>
    </xdr:from>
    <xdr:to>
      <xdr:col>35</xdr:col>
      <xdr:colOff>173811</xdr:colOff>
      <xdr:row>51</xdr:row>
      <xdr:rowOff>49492</xdr:rowOff>
    </xdr:to>
    <xdr:graphicFrame macro="">
      <xdr:nvGraphicFramePr>
        <xdr:cNvPr id="62" name="Chart 61">
          <a:extLst>
            <a:ext uri="{FF2B5EF4-FFF2-40B4-BE49-F238E27FC236}">
              <a16:creationId xmlns:a16="http://schemas.microsoft.com/office/drawing/2014/main" id="{43BBA285-3562-4B4F-8C58-5481F47B5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315358</xdr:colOff>
      <xdr:row>68</xdr:row>
      <xdr:rowOff>170085</xdr:rowOff>
    </xdr:from>
    <xdr:to>
      <xdr:col>44</xdr:col>
      <xdr:colOff>188857</xdr:colOff>
      <xdr:row>71</xdr:row>
      <xdr:rowOff>41238</xdr:rowOff>
    </xdr:to>
    <xdr:sp macro="" textlink="">
      <xdr:nvSpPr>
        <xdr:cNvPr id="63" name="Oval 62">
          <a:extLst>
            <a:ext uri="{FF2B5EF4-FFF2-40B4-BE49-F238E27FC236}">
              <a16:creationId xmlns:a16="http://schemas.microsoft.com/office/drawing/2014/main" id="{12CE201E-3C56-4A2C-8F9F-5EB77E24241C}"/>
            </a:ext>
          </a:extLst>
        </xdr:cNvPr>
        <xdr:cNvSpPr/>
      </xdr:nvSpPr>
      <xdr:spPr>
        <a:xfrm>
          <a:off x="26288407" y="12808134"/>
          <a:ext cx="477523" cy="428714"/>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202396</xdr:colOff>
      <xdr:row>21</xdr:row>
      <xdr:rowOff>155792</xdr:rowOff>
    </xdr:from>
    <xdr:to>
      <xdr:col>33</xdr:col>
      <xdr:colOff>224390</xdr:colOff>
      <xdr:row>24</xdr:row>
      <xdr:rowOff>159975</xdr:rowOff>
    </xdr:to>
    <xdr:sp macro="" textlink="">
      <xdr:nvSpPr>
        <xdr:cNvPr id="65" name="Rectangle: Rounded Corners 64">
          <a:extLst>
            <a:ext uri="{FF2B5EF4-FFF2-40B4-BE49-F238E27FC236}">
              <a16:creationId xmlns:a16="http://schemas.microsoft.com/office/drawing/2014/main" id="{DE1A6B24-8D5C-483C-8F8B-F976CD3B7515}"/>
            </a:ext>
          </a:extLst>
        </xdr:cNvPr>
        <xdr:cNvSpPr/>
      </xdr:nvSpPr>
      <xdr:spPr>
        <a:xfrm>
          <a:off x="15907030" y="4058719"/>
          <a:ext cx="4250165" cy="56174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rgbClr val="E5B244"/>
              </a:solidFill>
            </a:rPr>
            <a:t>Leave</a:t>
          </a:r>
          <a:r>
            <a:rPr lang="en-US" sz="3200" b="1" baseline="0">
              <a:solidFill>
                <a:srgbClr val="E5B244"/>
              </a:solidFill>
            </a:rPr>
            <a:t> Tracking </a:t>
          </a:r>
          <a:endParaRPr lang="en-US" sz="3200" b="1">
            <a:solidFill>
              <a:srgbClr val="E5B244"/>
            </a:solidFill>
          </a:endParaRPr>
        </a:p>
      </xdr:txBody>
    </xdr:sp>
    <xdr:clientData/>
  </xdr:twoCellAnchor>
  <xdr:twoCellAnchor>
    <xdr:from>
      <xdr:col>25</xdr:col>
      <xdr:colOff>488371</xdr:colOff>
      <xdr:row>22</xdr:row>
      <xdr:rowOff>150083</xdr:rowOff>
    </xdr:from>
    <xdr:to>
      <xdr:col>26</xdr:col>
      <xdr:colOff>168663</xdr:colOff>
      <xdr:row>24</xdr:row>
      <xdr:rowOff>111109</xdr:rowOff>
    </xdr:to>
    <xdr:sp macro="" textlink="">
      <xdr:nvSpPr>
        <xdr:cNvPr id="66" name="Oval 65">
          <a:extLst>
            <a:ext uri="{FF2B5EF4-FFF2-40B4-BE49-F238E27FC236}">
              <a16:creationId xmlns:a16="http://schemas.microsoft.com/office/drawing/2014/main" id="{F79D4F5B-E40F-419D-B7D3-E4939C03F90D}"/>
            </a:ext>
          </a:extLst>
        </xdr:cNvPr>
        <xdr:cNvSpPr/>
      </xdr:nvSpPr>
      <xdr:spPr>
        <a:xfrm>
          <a:off x="15588981" y="4238863"/>
          <a:ext cx="284316" cy="332734"/>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365976</xdr:colOff>
      <xdr:row>24</xdr:row>
      <xdr:rowOff>176974</xdr:rowOff>
    </xdr:from>
    <xdr:to>
      <xdr:col>33</xdr:col>
      <xdr:colOff>467891</xdr:colOff>
      <xdr:row>28</xdr:row>
      <xdr:rowOff>97857</xdr:rowOff>
    </xdr:to>
    <xdr:sp macro="" textlink="">
      <xdr:nvSpPr>
        <xdr:cNvPr id="67" name="Rectangle: Rounded Corners 66">
          <a:extLst>
            <a:ext uri="{FF2B5EF4-FFF2-40B4-BE49-F238E27FC236}">
              <a16:creationId xmlns:a16="http://schemas.microsoft.com/office/drawing/2014/main" id="{833F3A9F-3452-4938-8D63-5F78F82F69FD}"/>
            </a:ext>
          </a:extLst>
        </xdr:cNvPr>
        <xdr:cNvSpPr/>
      </xdr:nvSpPr>
      <xdr:spPr>
        <a:xfrm>
          <a:off x="15466586" y="4637462"/>
          <a:ext cx="4934110" cy="6642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2"/>
              </a:solidFill>
            </a:rPr>
            <a:t>Leavev Taken by</a:t>
          </a:r>
          <a:r>
            <a:rPr lang="en-US" sz="2800" b="1" baseline="0">
              <a:solidFill>
                <a:schemeClr val="bg2"/>
              </a:solidFill>
            </a:rPr>
            <a:t> job Title</a:t>
          </a:r>
          <a:endParaRPr lang="en-US" sz="2800" b="1">
            <a:solidFill>
              <a:schemeClr val="bg2"/>
            </a:solidFill>
          </a:endParaRPr>
        </a:p>
      </xdr:txBody>
    </xdr:sp>
    <xdr:clientData/>
  </xdr:twoCellAnchor>
  <xdr:twoCellAnchor>
    <xdr:from>
      <xdr:col>35</xdr:col>
      <xdr:colOff>534328</xdr:colOff>
      <xdr:row>30</xdr:row>
      <xdr:rowOff>18148</xdr:rowOff>
    </xdr:from>
    <xdr:to>
      <xdr:col>49</xdr:col>
      <xdr:colOff>506363</xdr:colOff>
      <xdr:row>49</xdr:row>
      <xdr:rowOff>3030</xdr:rowOff>
    </xdr:to>
    <xdr:graphicFrame macro="">
      <xdr:nvGraphicFramePr>
        <xdr:cNvPr id="68" name="Chart 67">
          <a:extLst>
            <a:ext uri="{FF2B5EF4-FFF2-40B4-BE49-F238E27FC236}">
              <a16:creationId xmlns:a16="http://schemas.microsoft.com/office/drawing/2014/main" id="{D5EFA6FA-7330-4FD9-BACB-2A74A4BD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573042</xdr:colOff>
      <xdr:row>48</xdr:row>
      <xdr:rowOff>172908</xdr:rowOff>
    </xdr:from>
    <xdr:to>
      <xdr:col>49</xdr:col>
      <xdr:colOff>276370</xdr:colOff>
      <xdr:row>55</xdr:row>
      <xdr:rowOff>90401</xdr:rowOff>
    </xdr:to>
    <xdr:sp macro="" textlink="">
      <xdr:nvSpPr>
        <xdr:cNvPr id="78" name="Rectangle: Rounded Corners 77">
          <a:extLst>
            <a:ext uri="{FF2B5EF4-FFF2-40B4-BE49-F238E27FC236}">
              <a16:creationId xmlns:a16="http://schemas.microsoft.com/office/drawing/2014/main" id="{4436A861-8D4B-4E3C-98BD-38B5AAF12ACB}"/>
            </a:ext>
          </a:extLst>
        </xdr:cNvPr>
        <xdr:cNvSpPr/>
      </xdr:nvSpPr>
      <xdr:spPr>
        <a:xfrm>
          <a:off x="21109871" y="9093884"/>
          <a:ext cx="8763694" cy="12184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000" b="1" i="0" u="none" strike="noStrike" kern="0" cap="none" spc="0" normalizeH="0" baseline="0" noProof="0">
              <a:ln>
                <a:noFill/>
              </a:ln>
              <a:solidFill>
                <a:srgbClr val="E5B244"/>
              </a:solidFill>
              <a:effectLst/>
              <a:uLnTx/>
              <a:uFillTx/>
              <a:latin typeface="+mn-lt"/>
              <a:ea typeface="+mn-ea"/>
              <a:cs typeface="+mn-cs"/>
            </a:rPr>
            <a:t>Employments Status BreackDown</a:t>
          </a:r>
        </a:p>
      </xdr:txBody>
    </xdr:sp>
    <xdr:clientData/>
  </xdr:twoCellAnchor>
  <xdr:twoCellAnchor>
    <xdr:from>
      <xdr:col>36</xdr:col>
      <xdr:colOff>132823</xdr:colOff>
      <xdr:row>25</xdr:row>
      <xdr:rowOff>27193</xdr:rowOff>
    </xdr:from>
    <xdr:to>
      <xdr:col>41</xdr:col>
      <xdr:colOff>55286</xdr:colOff>
      <xdr:row>28</xdr:row>
      <xdr:rowOff>31376</xdr:rowOff>
    </xdr:to>
    <xdr:sp macro="" textlink="">
      <xdr:nvSpPr>
        <xdr:cNvPr id="85" name="Rectangle: Rounded Corners 84">
          <a:extLst>
            <a:ext uri="{FF2B5EF4-FFF2-40B4-BE49-F238E27FC236}">
              <a16:creationId xmlns:a16="http://schemas.microsoft.com/office/drawing/2014/main" id="{04365879-D27F-41CF-BC6F-D837815B1E16}"/>
            </a:ext>
          </a:extLst>
        </xdr:cNvPr>
        <xdr:cNvSpPr/>
      </xdr:nvSpPr>
      <xdr:spPr>
        <a:xfrm>
          <a:off x="21877701" y="4673534"/>
          <a:ext cx="2942585" cy="56174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rgbClr val="E5B244"/>
              </a:solidFill>
            </a:rPr>
            <a:t>   Regions</a:t>
          </a:r>
        </a:p>
      </xdr:txBody>
    </xdr:sp>
    <xdr:clientData/>
  </xdr:twoCellAnchor>
  <xdr:twoCellAnchor>
    <xdr:from>
      <xdr:col>35</xdr:col>
      <xdr:colOff>52522</xdr:colOff>
      <xdr:row>28</xdr:row>
      <xdr:rowOff>12007</xdr:rowOff>
    </xdr:from>
    <xdr:to>
      <xdr:col>43</xdr:col>
      <xdr:colOff>154437</xdr:colOff>
      <xdr:row>31</xdr:row>
      <xdr:rowOff>119251</xdr:rowOff>
    </xdr:to>
    <xdr:sp macro="" textlink="">
      <xdr:nvSpPr>
        <xdr:cNvPr id="88" name="Rectangle: Rounded Corners 87">
          <a:extLst>
            <a:ext uri="{FF2B5EF4-FFF2-40B4-BE49-F238E27FC236}">
              <a16:creationId xmlns:a16="http://schemas.microsoft.com/office/drawing/2014/main" id="{73EADFFC-436D-4E36-AE55-4AEBA2C36D03}"/>
            </a:ext>
          </a:extLst>
        </xdr:cNvPr>
        <xdr:cNvSpPr/>
      </xdr:nvSpPr>
      <xdr:spPr>
        <a:xfrm>
          <a:off x="21193376" y="5215909"/>
          <a:ext cx="4934110" cy="66480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2"/>
              </a:solidFill>
            </a:rPr>
            <a:t>Employees</a:t>
          </a:r>
          <a:r>
            <a:rPr lang="en-US" sz="2800" b="1" baseline="0">
              <a:solidFill>
                <a:schemeClr val="bg2"/>
              </a:solidFill>
            </a:rPr>
            <a:t> per regions </a:t>
          </a:r>
          <a:endParaRPr lang="en-US" sz="2800" b="1">
            <a:solidFill>
              <a:schemeClr val="bg2"/>
            </a:solidFill>
          </a:endParaRPr>
        </a:p>
      </xdr:txBody>
    </xdr:sp>
    <xdr:clientData/>
  </xdr:twoCellAnchor>
  <xdr:twoCellAnchor>
    <xdr:from>
      <xdr:col>35</xdr:col>
      <xdr:colOff>430893</xdr:colOff>
      <xdr:row>6</xdr:row>
      <xdr:rowOff>68036</xdr:rowOff>
    </xdr:from>
    <xdr:to>
      <xdr:col>49</xdr:col>
      <xdr:colOff>272143</xdr:colOff>
      <xdr:row>24</xdr:row>
      <xdr:rowOff>22678</xdr:rowOff>
    </xdr:to>
    <xdr:sp macro="" textlink="">
      <xdr:nvSpPr>
        <xdr:cNvPr id="89" name="Rectangle: Rounded Corners 88">
          <a:extLst>
            <a:ext uri="{FF2B5EF4-FFF2-40B4-BE49-F238E27FC236}">
              <a16:creationId xmlns:a16="http://schemas.microsoft.com/office/drawing/2014/main" id="{3B84849E-9AA1-4CDC-BAC5-6BDDF1177DCC}"/>
            </a:ext>
          </a:extLst>
        </xdr:cNvPr>
        <xdr:cNvSpPr/>
      </xdr:nvSpPr>
      <xdr:spPr>
        <a:xfrm>
          <a:off x="21862143" y="1156607"/>
          <a:ext cx="8413750" cy="3220357"/>
        </a:xfrm>
        <a:prstGeom prst="roundRect">
          <a:avLst>
            <a:gd name="adj" fmla="val 9625"/>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430895</xdr:colOff>
      <xdr:row>11</xdr:row>
      <xdr:rowOff>92925</xdr:rowOff>
    </xdr:from>
    <xdr:to>
      <xdr:col>40</xdr:col>
      <xdr:colOff>226787</xdr:colOff>
      <xdr:row>21</xdr:row>
      <xdr:rowOff>22678</xdr:rowOff>
    </xdr:to>
    <xdr:sp macro="" textlink="PivotTable!J48">
      <xdr:nvSpPr>
        <xdr:cNvPr id="93" name="Rectangle: Rounded Corners 92">
          <a:extLst>
            <a:ext uri="{FF2B5EF4-FFF2-40B4-BE49-F238E27FC236}">
              <a16:creationId xmlns:a16="http://schemas.microsoft.com/office/drawing/2014/main" id="{AFBCC665-3175-45BE-B25E-668B90522840}"/>
            </a:ext>
          </a:extLst>
        </xdr:cNvPr>
        <xdr:cNvSpPr/>
      </xdr:nvSpPr>
      <xdr:spPr>
        <a:xfrm>
          <a:off x="22474466" y="2088639"/>
          <a:ext cx="2245178" cy="1744039"/>
        </a:xfrm>
        <a:prstGeom prst="roundRect">
          <a:avLst>
            <a:gd name="adj" fmla="val 4946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BEE75F-7D42-4729-A742-2B49AA6AAC6B}" type="TxLink">
            <a:rPr lang="en-US" sz="8000" b="1" i="0" u="none" strike="noStrike">
              <a:solidFill>
                <a:schemeClr val="bg1"/>
              </a:solidFill>
              <a:latin typeface="Aptos Narrow"/>
            </a:rPr>
            <a:pPr algn="l"/>
            <a:t>2.6</a:t>
          </a:fld>
          <a:endParaRPr lang="en-US" sz="333300" b="1" i="0">
            <a:solidFill>
              <a:schemeClr val="bg1"/>
            </a:solidFill>
          </a:endParaRPr>
        </a:p>
      </xdr:txBody>
    </xdr:sp>
    <xdr:clientData/>
  </xdr:twoCellAnchor>
  <xdr:twoCellAnchor>
    <xdr:from>
      <xdr:col>36</xdr:col>
      <xdr:colOff>123902</xdr:colOff>
      <xdr:row>18</xdr:row>
      <xdr:rowOff>10254</xdr:rowOff>
    </xdr:from>
    <xdr:to>
      <xdr:col>44</xdr:col>
      <xdr:colOff>382922</xdr:colOff>
      <xdr:row>23</xdr:row>
      <xdr:rowOff>22679</xdr:rowOff>
    </xdr:to>
    <xdr:sp macro="" textlink="">
      <xdr:nvSpPr>
        <xdr:cNvPr id="96" name="Rectangle: Rounded Corners 95">
          <a:extLst>
            <a:ext uri="{FF2B5EF4-FFF2-40B4-BE49-F238E27FC236}">
              <a16:creationId xmlns:a16="http://schemas.microsoft.com/office/drawing/2014/main" id="{7183A98C-0970-4474-AACC-71FCFF7ADBB9}"/>
            </a:ext>
          </a:extLst>
        </xdr:cNvPr>
        <xdr:cNvSpPr/>
      </xdr:nvSpPr>
      <xdr:spPr>
        <a:xfrm>
          <a:off x="22167473" y="3275968"/>
          <a:ext cx="5157592" cy="919568"/>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0">
              <a:solidFill>
                <a:schemeClr val="bg1"/>
              </a:solidFill>
            </a:rPr>
            <a:t>Average</a:t>
          </a:r>
          <a:r>
            <a:rPr lang="en-US" sz="3600" b="1" i="0" baseline="0">
              <a:solidFill>
                <a:schemeClr val="bg1"/>
              </a:solidFill>
            </a:rPr>
            <a:t> Rating </a:t>
          </a:r>
          <a:endParaRPr lang="en-US" sz="3600" b="1" i="0">
            <a:solidFill>
              <a:schemeClr val="bg1"/>
            </a:solidFill>
          </a:endParaRPr>
        </a:p>
      </xdr:txBody>
    </xdr:sp>
    <xdr:clientData/>
  </xdr:twoCellAnchor>
  <xdr:twoCellAnchor>
    <xdr:from>
      <xdr:col>35</xdr:col>
      <xdr:colOff>591856</xdr:colOff>
      <xdr:row>6</xdr:row>
      <xdr:rowOff>25999</xdr:rowOff>
    </xdr:from>
    <xdr:to>
      <xdr:col>45</xdr:col>
      <xdr:colOff>188619</xdr:colOff>
      <xdr:row>10</xdr:row>
      <xdr:rowOff>62760</xdr:rowOff>
    </xdr:to>
    <xdr:sp macro="" textlink="">
      <xdr:nvSpPr>
        <xdr:cNvPr id="119" name="Rectangle: Rounded Corners 118">
          <a:extLst>
            <a:ext uri="{FF2B5EF4-FFF2-40B4-BE49-F238E27FC236}">
              <a16:creationId xmlns:a16="http://schemas.microsoft.com/office/drawing/2014/main" id="{B4EE09B5-B9C3-4217-AD8C-131018A9523C}"/>
            </a:ext>
          </a:extLst>
        </xdr:cNvPr>
        <xdr:cNvSpPr/>
      </xdr:nvSpPr>
      <xdr:spPr>
        <a:xfrm>
          <a:off x="22023106" y="1114570"/>
          <a:ext cx="5719977" cy="762476"/>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0">
              <a:solidFill>
                <a:srgbClr val="E5B244"/>
              </a:solidFill>
            </a:rPr>
            <a:t>  Performance</a:t>
          </a:r>
          <a:r>
            <a:rPr lang="en-US" sz="3600" b="1" i="0" baseline="0">
              <a:solidFill>
                <a:srgbClr val="E5B244"/>
              </a:solidFill>
            </a:rPr>
            <a:t> Rating </a:t>
          </a:r>
          <a:endParaRPr lang="en-US" sz="3600" b="1" i="0">
            <a:solidFill>
              <a:srgbClr val="E5B244"/>
            </a:solidFill>
          </a:endParaRPr>
        </a:p>
      </xdr:txBody>
    </xdr:sp>
    <xdr:clientData/>
  </xdr:twoCellAnchor>
  <xdr:twoCellAnchor>
    <xdr:from>
      <xdr:col>35</xdr:col>
      <xdr:colOff>411267</xdr:colOff>
      <xdr:row>9</xdr:row>
      <xdr:rowOff>81600</xdr:rowOff>
    </xdr:from>
    <xdr:to>
      <xdr:col>49</xdr:col>
      <xdr:colOff>96245</xdr:colOff>
      <xdr:row>15</xdr:row>
      <xdr:rowOff>22678</xdr:rowOff>
    </xdr:to>
    <xdr:sp macro="" textlink="">
      <xdr:nvSpPr>
        <xdr:cNvPr id="120" name="Rectangle: Rounded Corners 119">
          <a:extLst>
            <a:ext uri="{FF2B5EF4-FFF2-40B4-BE49-F238E27FC236}">
              <a16:creationId xmlns:a16="http://schemas.microsoft.com/office/drawing/2014/main" id="{BC608C4F-BA89-4434-9AFE-1551ACEEB608}"/>
            </a:ext>
          </a:extLst>
        </xdr:cNvPr>
        <xdr:cNvSpPr/>
      </xdr:nvSpPr>
      <xdr:spPr>
        <a:xfrm>
          <a:off x="21842517" y="1714457"/>
          <a:ext cx="8257478" cy="102965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0">
              <a:solidFill>
                <a:schemeClr val="bg1"/>
              </a:solidFill>
            </a:rPr>
            <a:t>   Average</a:t>
          </a:r>
          <a:r>
            <a:rPr lang="en-US" sz="3600" b="1" i="0" baseline="0">
              <a:solidFill>
                <a:schemeClr val="bg1"/>
              </a:solidFill>
            </a:rPr>
            <a:t> Per Performance Rating </a:t>
          </a:r>
          <a:endParaRPr lang="en-US" sz="3600" b="1" i="0">
            <a:solidFill>
              <a:schemeClr val="bg1"/>
            </a:solidFill>
          </a:endParaRPr>
        </a:p>
      </xdr:txBody>
    </xdr:sp>
    <xdr:clientData/>
  </xdr:twoCellAnchor>
  <xdr:twoCellAnchor editAs="oneCell">
    <xdr:from>
      <xdr:col>44</xdr:col>
      <xdr:colOff>22678</xdr:colOff>
      <xdr:row>14</xdr:row>
      <xdr:rowOff>170600</xdr:rowOff>
    </xdr:from>
    <xdr:to>
      <xdr:col>49</xdr:col>
      <xdr:colOff>45359</xdr:colOff>
      <xdr:row>23</xdr:row>
      <xdr:rowOff>76370</xdr:rowOff>
    </xdr:to>
    <xdr:pic>
      <xdr:nvPicPr>
        <xdr:cNvPr id="121" name="Picture 120">
          <a:extLst>
            <a:ext uri="{FF2B5EF4-FFF2-40B4-BE49-F238E27FC236}">
              <a16:creationId xmlns:a16="http://schemas.microsoft.com/office/drawing/2014/main" id="{3799CC5D-1D6C-6140-A649-87C110743D4F}"/>
            </a:ext>
          </a:extLst>
        </xdr:cNvPr>
        <xdr:cNvPicPr>
          <a:picLocks noChangeAspect="1"/>
        </xdr:cNvPicPr>
      </xdr:nvPicPr>
      <xdr:blipFill>
        <a:blip xmlns:r="http://schemas.openxmlformats.org/officeDocument/2006/relationships" r:embed="rId12">
          <a:alphaModFix amt="70000"/>
          <a:extLst>
            <a:ext uri="{BEBA8EAE-BF5A-486C-A8C5-ECC9F3942E4B}">
              <a14:imgProps xmlns:a14="http://schemas.microsoft.com/office/drawing/2010/main">
                <a14:imgLayer r:embed="rId13">
                  <a14:imgEffect>
                    <a14:sharpenSoften amount="-50000"/>
                  </a14:imgEffect>
                </a14:imgLayer>
              </a14:imgProps>
            </a:ext>
          </a:extLst>
        </a:blip>
        <a:stretch>
          <a:fillRect/>
        </a:stretch>
      </xdr:blipFill>
      <xdr:spPr>
        <a:xfrm>
          <a:off x="26964821" y="2710600"/>
          <a:ext cx="3084288" cy="1538627"/>
        </a:xfrm>
        <a:prstGeom prst="rect">
          <a:avLst/>
        </a:prstGeom>
        <a:solidFill>
          <a:schemeClr val="tx1">
            <a:lumMod val="75000"/>
            <a:lumOff val="25000"/>
          </a:schemeClr>
        </a:solidFill>
        <a:ln>
          <a:solidFill>
            <a:schemeClr val="tx1">
              <a:lumMod val="75000"/>
              <a:lumOff val="25000"/>
            </a:schemeClr>
          </a:solidFill>
        </a:ln>
      </xdr:spPr>
    </xdr:pic>
    <xdr:clientData/>
  </xdr:twoCellAnchor>
  <xdr:twoCellAnchor>
    <xdr:from>
      <xdr:col>6</xdr:col>
      <xdr:colOff>223226</xdr:colOff>
      <xdr:row>61</xdr:row>
      <xdr:rowOff>23230</xdr:rowOff>
    </xdr:from>
    <xdr:to>
      <xdr:col>6</xdr:col>
      <xdr:colOff>557561</xdr:colOff>
      <xdr:row>63</xdr:row>
      <xdr:rowOff>0</xdr:rowOff>
    </xdr:to>
    <xdr:sp macro="" textlink="">
      <xdr:nvSpPr>
        <xdr:cNvPr id="122" name="Oval 121">
          <a:extLst>
            <a:ext uri="{FF2B5EF4-FFF2-40B4-BE49-F238E27FC236}">
              <a16:creationId xmlns:a16="http://schemas.microsoft.com/office/drawing/2014/main" id="{190D3021-C586-40A8-B246-53A834EEF2EB}"/>
            </a:ext>
          </a:extLst>
        </xdr:cNvPr>
        <xdr:cNvSpPr/>
      </xdr:nvSpPr>
      <xdr:spPr>
        <a:xfrm>
          <a:off x="3847372" y="11360303"/>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145604</xdr:colOff>
      <xdr:row>36</xdr:row>
      <xdr:rowOff>144377</xdr:rowOff>
    </xdr:from>
    <xdr:to>
      <xdr:col>6</xdr:col>
      <xdr:colOff>479939</xdr:colOff>
      <xdr:row>38</xdr:row>
      <xdr:rowOff>121147</xdr:rowOff>
    </xdr:to>
    <xdr:sp macro="" textlink="">
      <xdr:nvSpPr>
        <xdr:cNvPr id="124" name="Oval 123">
          <a:extLst>
            <a:ext uri="{FF2B5EF4-FFF2-40B4-BE49-F238E27FC236}">
              <a16:creationId xmlns:a16="http://schemas.microsoft.com/office/drawing/2014/main" id="{AA1579B2-5358-4ADB-940B-E268271C91D6}"/>
            </a:ext>
          </a:extLst>
        </xdr:cNvPr>
        <xdr:cNvSpPr/>
      </xdr:nvSpPr>
      <xdr:spPr>
        <a:xfrm>
          <a:off x="3769750" y="6835109"/>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162622</xdr:colOff>
      <xdr:row>41</xdr:row>
      <xdr:rowOff>67016</xdr:rowOff>
    </xdr:from>
    <xdr:to>
      <xdr:col>6</xdr:col>
      <xdr:colOff>496957</xdr:colOff>
      <xdr:row>43</xdr:row>
      <xdr:rowOff>43786</xdr:rowOff>
    </xdr:to>
    <xdr:sp macro="" textlink="">
      <xdr:nvSpPr>
        <xdr:cNvPr id="128" name="Oval 127">
          <a:extLst>
            <a:ext uri="{FF2B5EF4-FFF2-40B4-BE49-F238E27FC236}">
              <a16:creationId xmlns:a16="http://schemas.microsoft.com/office/drawing/2014/main" id="{EE31E0CC-11ED-4FE5-8FC8-D72307657074}"/>
            </a:ext>
          </a:extLst>
        </xdr:cNvPr>
        <xdr:cNvSpPr/>
      </xdr:nvSpPr>
      <xdr:spPr>
        <a:xfrm>
          <a:off x="3786768" y="7687016"/>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158613</xdr:colOff>
      <xdr:row>45</xdr:row>
      <xdr:rowOff>157387</xdr:rowOff>
    </xdr:from>
    <xdr:to>
      <xdr:col>6</xdr:col>
      <xdr:colOff>492948</xdr:colOff>
      <xdr:row>47</xdr:row>
      <xdr:rowOff>134157</xdr:rowOff>
    </xdr:to>
    <xdr:sp macro="" textlink="">
      <xdr:nvSpPr>
        <xdr:cNvPr id="129" name="Oval 128">
          <a:extLst>
            <a:ext uri="{FF2B5EF4-FFF2-40B4-BE49-F238E27FC236}">
              <a16:creationId xmlns:a16="http://schemas.microsoft.com/office/drawing/2014/main" id="{A197FB15-D3A3-4B97-AE2A-9135B55DE3AF}"/>
            </a:ext>
          </a:extLst>
        </xdr:cNvPr>
        <xdr:cNvSpPr/>
      </xdr:nvSpPr>
      <xdr:spPr>
        <a:xfrm>
          <a:off x="3782759" y="8520802"/>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6</xdr:col>
      <xdr:colOff>125160</xdr:colOff>
      <xdr:row>50</xdr:row>
      <xdr:rowOff>31006</xdr:rowOff>
    </xdr:from>
    <xdr:to>
      <xdr:col>6</xdr:col>
      <xdr:colOff>459495</xdr:colOff>
      <xdr:row>52</xdr:row>
      <xdr:rowOff>7776</xdr:rowOff>
    </xdr:to>
    <xdr:sp macro="" textlink="">
      <xdr:nvSpPr>
        <xdr:cNvPr id="130" name="Oval 129">
          <a:extLst>
            <a:ext uri="{FF2B5EF4-FFF2-40B4-BE49-F238E27FC236}">
              <a16:creationId xmlns:a16="http://schemas.microsoft.com/office/drawing/2014/main" id="{9F4FC258-9703-42B9-B8AF-4D1EEC228921}"/>
            </a:ext>
          </a:extLst>
        </xdr:cNvPr>
        <xdr:cNvSpPr/>
      </xdr:nvSpPr>
      <xdr:spPr>
        <a:xfrm>
          <a:off x="3749306" y="9323689"/>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138170</xdr:colOff>
      <xdr:row>54</xdr:row>
      <xdr:rowOff>136944</xdr:rowOff>
    </xdr:from>
    <xdr:to>
      <xdr:col>6</xdr:col>
      <xdr:colOff>472505</xdr:colOff>
      <xdr:row>56</xdr:row>
      <xdr:rowOff>113714</xdr:rowOff>
    </xdr:to>
    <xdr:sp macro="" textlink="">
      <xdr:nvSpPr>
        <xdr:cNvPr id="131" name="Oval 130">
          <a:extLst>
            <a:ext uri="{FF2B5EF4-FFF2-40B4-BE49-F238E27FC236}">
              <a16:creationId xmlns:a16="http://schemas.microsoft.com/office/drawing/2014/main" id="{2996F5D6-6526-43DA-A9A2-CB12CDC7680E}"/>
            </a:ext>
          </a:extLst>
        </xdr:cNvPr>
        <xdr:cNvSpPr/>
      </xdr:nvSpPr>
      <xdr:spPr>
        <a:xfrm>
          <a:off x="3762316" y="10173042"/>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522712</xdr:colOff>
      <xdr:row>7</xdr:row>
      <xdr:rowOff>91265</xdr:rowOff>
    </xdr:from>
    <xdr:to>
      <xdr:col>36</xdr:col>
      <xdr:colOff>244726</xdr:colOff>
      <xdr:row>9</xdr:row>
      <xdr:rowOff>68035</xdr:rowOff>
    </xdr:to>
    <xdr:sp macro="" textlink="">
      <xdr:nvSpPr>
        <xdr:cNvPr id="134" name="Oval 133">
          <a:extLst>
            <a:ext uri="{FF2B5EF4-FFF2-40B4-BE49-F238E27FC236}">
              <a16:creationId xmlns:a16="http://schemas.microsoft.com/office/drawing/2014/main" id="{8C3F8C36-4E7A-4208-9B36-D17A18FE238A}"/>
            </a:ext>
          </a:extLst>
        </xdr:cNvPr>
        <xdr:cNvSpPr/>
      </xdr:nvSpPr>
      <xdr:spPr>
        <a:xfrm>
          <a:off x="21953962" y="1361265"/>
          <a:ext cx="334335" cy="33962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46463</xdr:colOff>
      <xdr:row>26</xdr:row>
      <xdr:rowOff>23232</xdr:rowOff>
    </xdr:from>
    <xdr:to>
      <xdr:col>36</xdr:col>
      <xdr:colOff>371706</xdr:colOff>
      <xdr:row>27</xdr:row>
      <xdr:rowOff>116158</xdr:rowOff>
    </xdr:to>
    <xdr:sp macro="" textlink="">
      <xdr:nvSpPr>
        <xdr:cNvPr id="135" name="Oval 134">
          <a:extLst>
            <a:ext uri="{FF2B5EF4-FFF2-40B4-BE49-F238E27FC236}">
              <a16:creationId xmlns:a16="http://schemas.microsoft.com/office/drawing/2014/main" id="{D1C6516A-3D2B-4120-AF4C-1895D59C0B68}"/>
            </a:ext>
          </a:extLst>
        </xdr:cNvPr>
        <xdr:cNvSpPr/>
      </xdr:nvSpPr>
      <xdr:spPr>
        <a:xfrm>
          <a:off x="21791341" y="4855427"/>
          <a:ext cx="325243" cy="27878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514851</xdr:colOff>
      <xdr:row>52</xdr:row>
      <xdr:rowOff>158481</xdr:rowOff>
    </xdr:from>
    <xdr:to>
      <xdr:col>28</xdr:col>
      <xdr:colOff>245162</xdr:colOff>
      <xdr:row>54</xdr:row>
      <xdr:rowOff>135250</xdr:rowOff>
    </xdr:to>
    <xdr:sp macro="" textlink="">
      <xdr:nvSpPr>
        <xdr:cNvPr id="136" name="Oval 135">
          <a:extLst>
            <a:ext uri="{FF2B5EF4-FFF2-40B4-BE49-F238E27FC236}">
              <a16:creationId xmlns:a16="http://schemas.microsoft.com/office/drawing/2014/main" id="{56A75D0F-4B89-406E-B0E0-4FB37641F005}"/>
            </a:ext>
          </a:extLst>
        </xdr:cNvPr>
        <xdr:cNvSpPr/>
      </xdr:nvSpPr>
      <xdr:spPr>
        <a:xfrm>
          <a:off x="16823510" y="9822871"/>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278780</xdr:colOff>
      <xdr:row>24</xdr:row>
      <xdr:rowOff>74138</xdr:rowOff>
    </xdr:from>
    <xdr:to>
      <xdr:col>17</xdr:col>
      <xdr:colOff>9090</xdr:colOff>
      <xdr:row>26</xdr:row>
      <xdr:rowOff>50908</xdr:rowOff>
    </xdr:to>
    <xdr:sp macro="" textlink="">
      <xdr:nvSpPr>
        <xdr:cNvPr id="137" name="Oval 136">
          <a:extLst>
            <a:ext uri="{FF2B5EF4-FFF2-40B4-BE49-F238E27FC236}">
              <a16:creationId xmlns:a16="http://schemas.microsoft.com/office/drawing/2014/main" id="{5DFC073C-3540-4A9D-8964-0F9CA78230F1}"/>
            </a:ext>
          </a:extLst>
        </xdr:cNvPr>
        <xdr:cNvSpPr/>
      </xdr:nvSpPr>
      <xdr:spPr>
        <a:xfrm>
          <a:off x="9943170" y="4534626"/>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69693</xdr:colOff>
      <xdr:row>39</xdr:row>
      <xdr:rowOff>70565</xdr:rowOff>
    </xdr:from>
    <xdr:to>
      <xdr:col>17</xdr:col>
      <xdr:colOff>404028</xdr:colOff>
      <xdr:row>41</xdr:row>
      <xdr:rowOff>47335</xdr:rowOff>
    </xdr:to>
    <xdr:sp macro="" textlink="">
      <xdr:nvSpPr>
        <xdr:cNvPr id="138" name="Oval 137">
          <a:extLst>
            <a:ext uri="{FF2B5EF4-FFF2-40B4-BE49-F238E27FC236}">
              <a16:creationId xmlns:a16="http://schemas.microsoft.com/office/drawing/2014/main" id="{AEC2D1FB-F150-4682-ACF3-091A63D29015}"/>
            </a:ext>
          </a:extLst>
        </xdr:cNvPr>
        <xdr:cNvSpPr/>
      </xdr:nvSpPr>
      <xdr:spPr>
        <a:xfrm>
          <a:off x="10338108" y="7318858"/>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95955</xdr:colOff>
      <xdr:row>38</xdr:row>
      <xdr:rowOff>165864</xdr:rowOff>
    </xdr:from>
    <xdr:to>
      <xdr:col>21</xdr:col>
      <xdr:colOff>430290</xdr:colOff>
      <xdr:row>40</xdr:row>
      <xdr:rowOff>142634</xdr:rowOff>
    </xdr:to>
    <xdr:sp macro="" textlink="">
      <xdr:nvSpPr>
        <xdr:cNvPr id="139" name="Oval 138">
          <a:extLst>
            <a:ext uri="{FF2B5EF4-FFF2-40B4-BE49-F238E27FC236}">
              <a16:creationId xmlns:a16="http://schemas.microsoft.com/office/drawing/2014/main" id="{F8A22447-3C99-4DD1-891A-98D396430F32}"/>
            </a:ext>
          </a:extLst>
        </xdr:cNvPr>
        <xdr:cNvSpPr/>
      </xdr:nvSpPr>
      <xdr:spPr>
        <a:xfrm>
          <a:off x="12780467" y="7228303"/>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340112</xdr:colOff>
      <xdr:row>54</xdr:row>
      <xdr:rowOff>169069</xdr:rowOff>
    </xdr:from>
    <xdr:to>
      <xdr:col>17</xdr:col>
      <xdr:colOff>70422</xdr:colOff>
      <xdr:row>56</xdr:row>
      <xdr:rowOff>145839</xdr:rowOff>
    </xdr:to>
    <xdr:sp macro="" textlink="">
      <xdr:nvSpPr>
        <xdr:cNvPr id="140" name="Oval 139">
          <a:extLst>
            <a:ext uri="{FF2B5EF4-FFF2-40B4-BE49-F238E27FC236}">
              <a16:creationId xmlns:a16="http://schemas.microsoft.com/office/drawing/2014/main" id="{32436C51-C810-4351-A86E-41450A2A8AC6}"/>
            </a:ext>
          </a:extLst>
        </xdr:cNvPr>
        <xdr:cNvSpPr/>
      </xdr:nvSpPr>
      <xdr:spPr>
        <a:xfrm>
          <a:off x="10004502" y="10205167"/>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329889</xdr:colOff>
      <xdr:row>50</xdr:row>
      <xdr:rowOff>19458</xdr:rowOff>
    </xdr:from>
    <xdr:to>
      <xdr:col>36</xdr:col>
      <xdr:colOff>60200</xdr:colOff>
      <xdr:row>51</xdr:row>
      <xdr:rowOff>182081</xdr:rowOff>
    </xdr:to>
    <xdr:sp macro="" textlink="">
      <xdr:nvSpPr>
        <xdr:cNvPr id="141" name="Oval 140">
          <a:extLst>
            <a:ext uri="{FF2B5EF4-FFF2-40B4-BE49-F238E27FC236}">
              <a16:creationId xmlns:a16="http://schemas.microsoft.com/office/drawing/2014/main" id="{48311277-5D34-4C48-A07F-E336BF1DFE8B}"/>
            </a:ext>
          </a:extLst>
        </xdr:cNvPr>
        <xdr:cNvSpPr/>
      </xdr:nvSpPr>
      <xdr:spPr>
        <a:xfrm>
          <a:off x="21470743" y="9312141"/>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185854</xdr:colOff>
      <xdr:row>28</xdr:row>
      <xdr:rowOff>23230</xdr:rowOff>
    </xdr:from>
    <xdr:to>
      <xdr:col>6</xdr:col>
      <xdr:colOff>520189</xdr:colOff>
      <xdr:row>30</xdr:row>
      <xdr:rowOff>-1</xdr:rowOff>
    </xdr:to>
    <xdr:sp macro="" textlink="">
      <xdr:nvSpPr>
        <xdr:cNvPr id="142" name="Oval 141">
          <a:extLst>
            <a:ext uri="{FF2B5EF4-FFF2-40B4-BE49-F238E27FC236}">
              <a16:creationId xmlns:a16="http://schemas.microsoft.com/office/drawing/2014/main" id="{98C7BBBE-1A77-41F2-8D25-38F4EF5EE2AA}"/>
            </a:ext>
          </a:extLst>
        </xdr:cNvPr>
        <xdr:cNvSpPr/>
      </xdr:nvSpPr>
      <xdr:spPr>
        <a:xfrm>
          <a:off x="3810000" y="5227132"/>
          <a:ext cx="334335" cy="34847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44976</xdr:colOff>
      <xdr:row>27</xdr:row>
      <xdr:rowOff>-1</xdr:rowOff>
    </xdr:from>
    <xdr:to>
      <xdr:col>7</xdr:col>
      <xdr:colOff>46463</xdr:colOff>
      <xdr:row>33</xdr:row>
      <xdr:rowOff>162621</xdr:rowOff>
    </xdr:to>
    <xdr:cxnSp macro="">
      <xdr:nvCxnSpPr>
        <xdr:cNvPr id="144" name="Straight Connector 143">
          <a:extLst>
            <a:ext uri="{FF2B5EF4-FFF2-40B4-BE49-F238E27FC236}">
              <a16:creationId xmlns:a16="http://schemas.microsoft.com/office/drawing/2014/main" id="{1013A2F0-D582-7A6D-824F-09F0F978FEB2}"/>
            </a:ext>
          </a:extLst>
        </xdr:cNvPr>
        <xdr:cNvCxnSpPr/>
      </xdr:nvCxnSpPr>
      <xdr:spPr>
        <a:xfrm>
          <a:off x="4273147" y="5018048"/>
          <a:ext cx="1487" cy="1277744"/>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46464</xdr:colOff>
      <xdr:row>5</xdr:row>
      <xdr:rowOff>0</xdr:rowOff>
    </xdr:from>
    <xdr:to>
      <xdr:col>10</xdr:col>
      <xdr:colOff>408215</xdr:colOff>
      <xdr:row>22</xdr:row>
      <xdr:rowOff>22678</xdr:rowOff>
    </xdr:to>
    <xdr:sp macro="" textlink="">
      <xdr:nvSpPr>
        <xdr:cNvPr id="154" name="Rectangle: Rounded Corners 153">
          <a:extLst>
            <a:ext uri="{FF2B5EF4-FFF2-40B4-BE49-F238E27FC236}">
              <a16:creationId xmlns:a16="http://schemas.microsoft.com/office/drawing/2014/main" id="{910149D7-DA2C-4587-A552-826C132ED765}"/>
            </a:ext>
          </a:extLst>
        </xdr:cNvPr>
        <xdr:cNvSpPr/>
      </xdr:nvSpPr>
      <xdr:spPr>
        <a:xfrm>
          <a:off x="3720393" y="907143"/>
          <a:ext cx="2811036" cy="3106964"/>
        </a:xfrm>
        <a:prstGeom prst="roundRect">
          <a:avLst>
            <a:gd name="adj" fmla="val 15070"/>
          </a:avLst>
        </a:prstGeom>
        <a:solidFill>
          <a:schemeClr val="tx1">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348474</xdr:colOff>
      <xdr:row>1</xdr:row>
      <xdr:rowOff>68035</xdr:rowOff>
    </xdr:from>
    <xdr:to>
      <xdr:col>11</xdr:col>
      <xdr:colOff>153328</xdr:colOff>
      <xdr:row>19</xdr:row>
      <xdr:rowOff>151669</xdr:rowOff>
    </xdr:to>
    <xdr:pic>
      <xdr:nvPicPr>
        <xdr:cNvPr id="155" name="Picture 154">
          <a:extLst>
            <a:ext uri="{FF2B5EF4-FFF2-40B4-BE49-F238E27FC236}">
              <a16:creationId xmlns:a16="http://schemas.microsoft.com/office/drawing/2014/main" id="{F94EE556-A665-47D6-B95F-E2B174E1E735}"/>
            </a:ext>
          </a:extLst>
        </xdr:cNvPr>
        <xdr:cNvPicPr>
          <a:picLocks noChangeAspect="1"/>
        </xdr:cNvPicPr>
      </xdr:nvPicPr>
      <xdr:blipFill>
        <a:blip xmlns:r="http://schemas.openxmlformats.org/officeDocument/2006/relationships" r:embed="rId14">
          <a:duotone>
            <a:schemeClr val="accent1">
              <a:shade val="45000"/>
              <a:satMod val="135000"/>
            </a:schemeClr>
            <a:prstClr val="white"/>
          </a:duotone>
          <a:extLst>
            <a:ext uri="{BEBA8EAE-BF5A-486C-A8C5-ECC9F3942E4B}">
              <a14:imgProps xmlns:a14="http://schemas.microsoft.com/office/drawing/2010/main">
                <a14:imgLayer r:embed="rId15">
                  <a14:imgEffect>
                    <a14:saturation sat="300000"/>
                  </a14:imgEffect>
                </a14:imgLayer>
              </a14:imgProps>
            </a:ext>
          </a:extLst>
        </a:blip>
        <a:stretch>
          <a:fillRect/>
        </a:stretch>
      </xdr:blipFill>
      <xdr:spPr>
        <a:xfrm>
          <a:off x="3410081" y="249464"/>
          <a:ext cx="3478783" cy="3349348"/>
        </a:xfrm>
        <a:prstGeom prst="rect">
          <a:avLst/>
        </a:prstGeom>
      </xdr:spPr>
    </xdr:pic>
    <xdr:clientData/>
  </xdr:twoCellAnchor>
  <xdr:twoCellAnchor editAs="oneCell">
    <xdr:from>
      <xdr:col>7</xdr:col>
      <xdr:colOff>116709</xdr:colOff>
      <xdr:row>14</xdr:row>
      <xdr:rowOff>136071</xdr:rowOff>
    </xdr:from>
    <xdr:to>
      <xdr:col>9</xdr:col>
      <xdr:colOff>372257</xdr:colOff>
      <xdr:row>22</xdr:row>
      <xdr:rowOff>117264</xdr:rowOff>
    </xdr:to>
    <xdr:pic>
      <xdr:nvPicPr>
        <xdr:cNvPr id="157" name="Picture 156">
          <a:extLst>
            <a:ext uri="{FF2B5EF4-FFF2-40B4-BE49-F238E27FC236}">
              <a16:creationId xmlns:a16="http://schemas.microsoft.com/office/drawing/2014/main" id="{1C43D10E-CE43-0EFA-4ECF-E1EB3D5236BC}"/>
            </a:ext>
          </a:extLst>
        </xdr:cNvPr>
        <xdr:cNvPicPr>
          <a:picLocks noChangeAspect="1"/>
        </xdr:cNvPicPr>
      </xdr:nvPicPr>
      <xdr:blipFill>
        <a:blip xmlns:r="http://schemas.openxmlformats.org/officeDocument/2006/relationships" r:embed="rId16"/>
        <a:stretch>
          <a:fillRect/>
        </a:stretch>
      </xdr:blipFill>
      <xdr:spPr>
        <a:xfrm>
          <a:off x="4402959" y="2676071"/>
          <a:ext cx="1480191" cy="1432622"/>
        </a:xfrm>
        <a:prstGeom prst="rect">
          <a:avLst/>
        </a:prstGeom>
      </xdr:spPr>
    </xdr:pic>
    <xdr:clientData/>
  </xdr:twoCellAnchor>
  <xdr:twoCellAnchor>
    <xdr:from>
      <xdr:col>10</xdr:col>
      <xdr:colOff>34848</xdr:colOff>
      <xdr:row>9</xdr:row>
      <xdr:rowOff>1106</xdr:rowOff>
    </xdr:from>
    <xdr:to>
      <xdr:col>24</xdr:col>
      <xdr:colOff>252232</xdr:colOff>
      <xdr:row>23</xdr:row>
      <xdr:rowOff>94033</xdr:rowOff>
    </xdr:to>
    <xdr:sp macro="" textlink="">
      <xdr:nvSpPr>
        <xdr:cNvPr id="159" name="TextBox 158">
          <a:extLst>
            <a:ext uri="{FF2B5EF4-FFF2-40B4-BE49-F238E27FC236}">
              <a16:creationId xmlns:a16="http://schemas.microsoft.com/office/drawing/2014/main" id="{4ADD49E6-4778-4D92-B7FF-091BC1C2FF34}"/>
            </a:ext>
          </a:extLst>
        </xdr:cNvPr>
        <xdr:cNvSpPr txBox="1"/>
      </xdr:nvSpPr>
      <xdr:spPr>
        <a:xfrm>
          <a:off x="6158062" y="1633963"/>
          <a:ext cx="8789884" cy="263292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3600" b="1">
              <a:solidFill>
                <a:srgbClr val="E5B244"/>
              </a:solidFill>
              <a:latin typeface="+mn-lt"/>
              <a:ea typeface="+mn-ea"/>
              <a:cs typeface="+mn-cs"/>
            </a:rPr>
            <a:t>HR</a:t>
          </a:r>
          <a:r>
            <a:rPr lang="en-US" sz="3600" b="1" baseline="0">
              <a:solidFill>
                <a:srgbClr val="E5B244"/>
              </a:solidFill>
              <a:latin typeface="+mn-lt"/>
              <a:ea typeface="+mn-ea"/>
              <a:cs typeface="+mn-cs"/>
            </a:rPr>
            <a:t> </a:t>
          </a:r>
        </a:p>
        <a:p>
          <a:pPr marL="0" indent="0" algn="l"/>
          <a:r>
            <a:rPr lang="en-US" sz="3600" b="1" baseline="0">
              <a:solidFill>
                <a:srgbClr val="E5B244"/>
              </a:solidFill>
              <a:latin typeface="+mn-lt"/>
              <a:ea typeface="+mn-ea"/>
              <a:cs typeface="+mn-cs"/>
            </a:rPr>
            <a:t>Dashboard </a:t>
          </a:r>
        </a:p>
        <a:p>
          <a:pPr marL="0" indent="0" algn="l"/>
          <a:r>
            <a:rPr lang="en-US" sz="3600" b="1" baseline="0">
              <a:solidFill>
                <a:srgbClr val="E5B244"/>
              </a:solidFill>
              <a:latin typeface="+mn-lt"/>
              <a:ea typeface="+mn-ea"/>
              <a:cs typeface="+mn-cs"/>
            </a:rPr>
            <a:t>Analysis and monitor the HR department </a:t>
          </a:r>
          <a:endParaRPr lang="en-US" sz="3600" b="1">
            <a:solidFill>
              <a:srgbClr val="E5B244"/>
            </a:solidFill>
            <a:latin typeface="+mn-lt"/>
            <a:ea typeface="+mn-ea"/>
            <a:cs typeface="+mn-cs"/>
          </a:endParaRPr>
        </a:p>
      </xdr:txBody>
    </xdr:sp>
    <xdr:clientData/>
  </xdr:twoCellAnchor>
  <xdr:twoCellAnchor editAs="oneCell">
    <xdr:from>
      <xdr:col>24</xdr:col>
      <xdr:colOff>362858</xdr:colOff>
      <xdr:row>14</xdr:row>
      <xdr:rowOff>45355</xdr:rowOff>
    </xdr:from>
    <xdr:to>
      <xdr:col>35</xdr:col>
      <xdr:colOff>317500</xdr:colOff>
      <xdr:row>20</xdr:row>
      <xdr:rowOff>22679</xdr:rowOff>
    </xdr:to>
    <mc:AlternateContent xmlns:mc="http://schemas.openxmlformats.org/markup-compatibility/2006" xmlns:a14="http://schemas.microsoft.com/office/drawing/2010/main">
      <mc:Choice Requires="a14">
        <xdr:graphicFrame macro="">
          <xdr:nvGraphicFramePr>
            <xdr:cNvPr id="164" name="Gender">
              <a:extLst>
                <a:ext uri="{FF2B5EF4-FFF2-40B4-BE49-F238E27FC236}">
                  <a16:creationId xmlns:a16="http://schemas.microsoft.com/office/drawing/2014/main" id="{73A3DA9B-7F9E-46D8-8D14-102DF1B7BA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058572" y="2585355"/>
              <a:ext cx="6690178" cy="1065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385535</xdr:colOff>
      <xdr:row>6</xdr:row>
      <xdr:rowOff>113396</xdr:rowOff>
    </xdr:from>
    <xdr:to>
      <xdr:col>35</xdr:col>
      <xdr:colOff>340179</xdr:colOff>
      <xdr:row>13</xdr:row>
      <xdr:rowOff>113395</xdr:rowOff>
    </xdr:to>
    <mc:AlternateContent xmlns:mc="http://schemas.openxmlformats.org/markup-compatibility/2006" xmlns:a14="http://schemas.microsoft.com/office/drawing/2010/main">
      <mc:Choice Requires="a14">
        <xdr:graphicFrame macro="">
          <xdr:nvGraphicFramePr>
            <xdr:cNvPr id="165" name="Department">
              <a:extLst>
                <a:ext uri="{FF2B5EF4-FFF2-40B4-BE49-F238E27FC236}">
                  <a16:creationId xmlns:a16="http://schemas.microsoft.com/office/drawing/2014/main" id="{051C9280-4D6B-4AFB-A915-944C84B0A2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45714" y="1201967"/>
              <a:ext cx="13425715" cy="1269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0.775523958335" createdVersion="8" refreshedVersion="8" minRefreshableVersion="3" recordCount="50" xr:uid="{F196AB59-BFFD-4AC4-A516-1CA5CBDBA08A}">
  <cacheSource type="worksheet">
    <worksheetSource name="Sheet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14">
      <sharedItems containsSemiMixedTypes="0" containsNonDate="0" containsDate="1" containsString="0" minDate="2014-12-09T00:00:00" maxDate="2024-09-04T00:00:00" count="50">
        <d v="2019-03-15T00:00:00"/>
        <d v="2022-12-20T00:00:00"/>
        <d v="2022-08-10T00:00:00"/>
        <d v="2024-09-03T00:00:00"/>
        <d v="2019-03-14T00:00:00"/>
        <d v="2017-01-23T00:00:00"/>
        <d v="2024-08-17T00:00:00"/>
        <d v="2014-12-09T00:00:00"/>
        <d v="2021-06-28T00:00:00"/>
        <d v="2018-05-20T00:00:00"/>
        <d v="2017-02-13T00:00:00"/>
        <d v="2024-05-05T00:00:00"/>
        <d v="2022-04-19T00:00:00"/>
        <d v="2015-11-16T00:00:00"/>
        <d v="2023-09-09T00:00:00"/>
        <d v="2017-12-12T00:00:00"/>
        <d v="2017-03-10T00:00:00"/>
        <d v="2019-03-04T00:00:00"/>
        <d v="2022-11-20T00:00:00"/>
        <d v="2021-03-02T00:00:00"/>
        <d v="2021-08-01T00:00:00"/>
        <d v="2015-08-14T00:00:00"/>
        <d v="2015-10-21T00:00:00"/>
        <d v="2015-03-14T00:00:00"/>
        <d v="2024-05-22T00:00:00"/>
        <d v="2017-03-19T00:00:00"/>
        <d v="2021-09-15T00:00:00"/>
        <d v="2022-05-09T00:00:00"/>
        <d v="2017-06-22T00:00:00"/>
        <d v="2020-11-28T00:00:00"/>
        <d v="2015-08-30T00:00:00"/>
        <d v="2018-10-27T00:00:00"/>
        <d v="2018-08-26T00:00:00"/>
        <d v="2023-07-24T00:00:00"/>
        <d v="2018-07-09T00:00:00"/>
        <d v="2016-12-21T00:00:00"/>
        <d v="2019-06-27T00:00:00"/>
        <d v="2021-08-27T00:00:00"/>
        <d v="2017-05-28T00:00:00"/>
        <d v="2022-01-30T00:00:00"/>
        <d v="2017-04-20T00:00:00"/>
        <d v="2019-07-22T00:00:00"/>
        <d v="2018-11-29T00:00:00"/>
        <d v="2022-11-14T00:00:00"/>
        <d v="2016-02-23T00:00:00"/>
        <d v="2018-05-18T00:00:00"/>
        <d v="2024-03-09T00:00:00"/>
        <d v="2024-03-27T00:00:00"/>
        <d v="2019-12-23T00:00:00"/>
        <d v="2016-08-25T00:00:0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ount="3">
        <s v="Leadership Training"/>
        <s v="Excel Workshop"/>
        <s v="None"/>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721265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x v="0"/>
    <x v="0"/>
    <x v="0"/>
    <n v="53700"/>
    <s v="C"/>
    <n v="1463"/>
    <s v="Health"/>
    <n v="1"/>
    <n v="1"/>
    <x v="0"/>
    <x v="0"/>
    <s v="Certified Professional"/>
  </r>
  <r>
    <n v="9116"/>
    <s v="Gary Garcia"/>
    <x v="1"/>
    <n v="27"/>
    <x v="1"/>
    <x v="1"/>
    <x v="1"/>
    <x v="1"/>
    <s v="Ashley Simmons MD"/>
    <x v="1"/>
    <x v="0"/>
    <x v="1"/>
    <n v="91091"/>
    <s v="B"/>
    <n v="1024"/>
    <s v="None"/>
    <n v="19"/>
    <n v="4"/>
    <x v="1"/>
    <x v="0"/>
    <s v="Certified Professional"/>
  </r>
  <r>
    <n v="5120"/>
    <s v="Jeremy Nguyen"/>
    <x v="1"/>
    <n v="34"/>
    <x v="1"/>
    <x v="2"/>
    <x v="2"/>
    <x v="2"/>
    <s v="Cassandra Duncan"/>
    <x v="2"/>
    <x v="0"/>
    <x v="2"/>
    <n v="57538"/>
    <s v="D"/>
    <n v="1674"/>
    <s v="None"/>
    <n v="8"/>
    <n v="1"/>
    <x v="2"/>
    <x v="1"/>
    <s v="Advanced Training"/>
  </r>
  <r>
    <n v="8071"/>
    <s v="Kimberly Jones"/>
    <x v="0"/>
    <n v="41"/>
    <x v="2"/>
    <x v="2"/>
    <x v="0"/>
    <x v="3"/>
    <s v="Janet Harris"/>
    <x v="3"/>
    <x v="1"/>
    <x v="0"/>
    <n v="62993"/>
    <s v="A"/>
    <n v="2695"/>
    <s v="Health + Dental"/>
    <n v="0"/>
    <n v="2"/>
    <x v="2"/>
    <x v="2"/>
    <s v="None"/>
  </r>
  <r>
    <n v="9351"/>
    <s v="Anthony Gates"/>
    <x v="1"/>
    <n v="56"/>
    <x v="3"/>
    <x v="0"/>
    <x v="0"/>
    <x v="2"/>
    <s v="Mr. Frank Clay"/>
    <x v="4"/>
    <x v="1"/>
    <x v="1"/>
    <n v="45773"/>
    <s v="A"/>
    <n v="8776"/>
    <s v="Health"/>
    <n v="16"/>
    <n v="4"/>
    <x v="0"/>
    <x v="2"/>
    <s v="None"/>
  </r>
  <r>
    <n v="2873"/>
    <s v="Courtney Foster"/>
    <x v="0"/>
    <n v="28"/>
    <x v="1"/>
    <x v="2"/>
    <x v="3"/>
    <x v="2"/>
    <s v="Dorothy Price"/>
    <x v="5"/>
    <x v="0"/>
    <x v="1"/>
    <n v="96249"/>
    <s v="C"/>
    <n v="4826"/>
    <s v="Health + Dental"/>
    <n v="7"/>
    <n v="3"/>
    <x v="0"/>
    <x v="3"/>
    <s v="Certified Professional"/>
  </r>
  <r>
    <n v="3540"/>
    <s v="Catherine Hall"/>
    <x v="0"/>
    <n v="20"/>
    <x v="0"/>
    <x v="1"/>
    <x v="2"/>
    <x v="2"/>
    <s v="Michele Sexton"/>
    <x v="6"/>
    <x v="0"/>
    <x v="2"/>
    <n v="61596"/>
    <s v="C"/>
    <n v="8818"/>
    <s v="Health + Dental"/>
    <n v="4"/>
    <n v="2"/>
    <x v="0"/>
    <x v="1"/>
    <s v="None"/>
  </r>
  <r>
    <n v="3653"/>
    <s v="Deanna Ball"/>
    <x v="0"/>
    <n v="58"/>
    <x v="3"/>
    <x v="3"/>
    <x v="1"/>
    <x v="4"/>
    <s v="Richard Schmidt"/>
    <x v="7"/>
    <x v="0"/>
    <x v="2"/>
    <n v="97869"/>
    <s v="A"/>
    <n v="1966"/>
    <s v="Health"/>
    <n v="10"/>
    <n v="1"/>
    <x v="0"/>
    <x v="0"/>
    <s v="Certified Professional"/>
  </r>
  <r>
    <n v="5587"/>
    <s v="Candace Nelson"/>
    <x v="0"/>
    <n v="44"/>
    <x v="2"/>
    <x v="3"/>
    <x v="2"/>
    <x v="2"/>
    <s v="Teresa Pearson"/>
    <x v="8"/>
    <x v="0"/>
    <x v="0"/>
    <n v="81235"/>
    <s v="A"/>
    <n v="6553"/>
    <s v="None"/>
    <n v="16"/>
    <n v="2"/>
    <x v="2"/>
    <x v="1"/>
    <s v="Certified Professional"/>
  </r>
  <r>
    <n v="9554"/>
    <s v="Mandy Davis"/>
    <x v="0"/>
    <n v="29"/>
    <x v="1"/>
    <x v="1"/>
    <x v="2"/>
    <x v="3"/>
    <s v="Laura Hart"/>
    <x v="9"/>
    <x v="0"/>
    <x v="1"/>
    <n v="87852"/>
    <s v="A"/>
    <n v="4980"/>
    <s v="Health + Dental"/>
    <n v="19"/>
    <n v="3"/>
    <x v="2"/>
    <x v="2"/>
    <s v="Certified Professional"/>
  </r>
  <r>
    <n v="6213"/>
    <s v="Matthew Powell"/>
    <x v="1"/>
    <n v="23"/>
    <x v="0"/>
    <x v="3"/>
    <x v="0"/>
    <x v="2"/>
    <s v="Andrea May"/>
    <x v="10"/>
    <x v="1"/>
    <x v="1"/>
    <n v="59359"/>
    <s v="A"/>
    <n v="9449"/>
    <s v="Health + Dental"/>
    <n v="20"/>
    <n v="3"/>
    <x v="2"/>
    <x v="1"/>
    <s v="None"/>
  </r>
  <r>
    <n v="9105"/>
    <s v="Bruce Nelson"/>
    <x v="1"/>
    <n v="30"/>
    <x v="1"/>
    <x v="0"/>
    <x v="1"/>
    <x v="0"/>
    <s v="Casey Martin"/>
    <x v="11"/>
    <x v="1"/>
    <x v="2"/>
    <n v="81225"/>
    <s v="D"/>
    <n v="6202"/>
    <s v="Health + Dental"/>
    <n v="2"/>
    <n v="2"/>
    <x v="1"/>
    <x v="4"/>
    <s v="Certified Professional"/>
  </r>
  <r>
    <n v="9508"/>
    <s v="Dawn Cole"/>
    <x v="0"/>
    <n v="49"/>
    <x v="4"/>
    <x v="1"/>
    <x v="0"/>
    <x v="0"/>
    <s v="Amber Allen"/>
    <x v="12"/>
    <x v="1"/>
    <x v="0"/>
    <n v="32788"/>
    <s v="D"/>
    <n v="4396"/>
    <s v="Health"/>
    <n v="13"/>
    <n v="5"/>
    <x v="2"/>
    <x v="3"/>
    <s v="Advanced Training"/>
  </r>
  <r>
    <n v="2436"/>
    <s v="Tanner Morse"/>
    <x v="1"/>
    <n v="60"/>
    <x v="3"/>
    <x v="4"/>
    <x v="0"/>
    <x v="3"/>
    <s v="Adam Johnson"/>
    <x v="13"/>
    <x v="1"/>
    <x v="2"/>
    <n v="70452"/>
    <s v="D"/>
    <n v="9911"/>
    <s v="None"/>
    <n v="2"/>
    <n v="1"/>
    <x v="2"/>
    <x v="3"/>
    <s v="Certified Professional"/>
  </r>
  <r>
    <n v="4441"/>
    <s v="Jose Griffin"/>
    <x v="1"/>
    <n v="46"/>
    <x v="4"/>
    <x v="1"/>
    <x v="3"/>
    <x v="0"/>
    <s v="Nicole Dominguez"/>
    <x v="14"/>
    <x v="0"/>
    <x v="1"/>
    <n v="33045"/>
    <s v="B"/>
    <n v="1456"/>
    <s v="None"/>
    <n v="16"/>
    <n v="3"/>
    <x v="1"/>
    <x v="3"/>
    <s v="None"/>
  </r>
  <r>
    <n v="5827"/>
    <s v="Daniel Hawkins"/>
    <x v="1"/>
    <n v="57"/>
    <x v="3"/>
    <x v="2"/>
    <x v="3"/>
    <x v="1"/>
    <s v="Andrew Best"/>
    <x v="15"/>
    <x v="2"/>
    <x v="2"/>
    <n v="96429"/>
    <s v="C"/>
    <n v="4740"/>
    <s v="None"/>
    <n v="8"/>
    <n v="1"/>
    <x v="1"/>
    <x v="2"/>
    <s v="None"/>
  </r>
  <r>
    <n v="5184"/>
    <s v="Elaine Mcclain"/>
    <x v="0"/>
    <n v="24"/>
    <x v="0"/>
    <x v="1"/>
    <x v="2"/>
    <x v="2"/>
    <s v="Gabrielle Rodriguez"/>
    <x v="16"/>
    <x v="2"/>
    <x v="2"/>
    <n v="33183"/>
    <s v="A"/>
    <n v="8114"/>
    <s v="None"/>
    <n v="4"/>
    <n v="2"/>
    <x v="1"/>
    <x v="4"/>
    <s v="Advanced Training"/>
  </r>
  <r>
    <n v="5874"/>
    <s v="Kimberly Jones"/>
    <x v="0"/>
    <n v="35"/>
    <x v="1"/>
    <x v="4"/>
    <x v="3"/>
    <x v="0"/>
    <s v="Allison Harvey"/>
    <x v="17"/>
    <x v="2"/>
    <x v="0"/>
    <n v="75065"/>
    <s v="C"/>
    <n v="7123"/>
    <s v="None"/>
    <n v="20"/>
    <n v="2"/>
    <x v="2"/>
    <x v="0"/>
    <s v="Advanced Training"/>
  </r>
  <r>
    <n v="9834"/>
    <s v="Thomas Kramer"/>
    <x v="1"/>
    <n v="41"/>
    <x v="2"/>
    <x v="1"/>
    <x v="1"/>
    <x v="4"/>
    <s v="Tristan Mejia"/>
    <x v="18"/>
    <x v="0"/>
    <x v="2"/>
    <n v="32877"/>
    <s v="C"/>
    <n v="6432"/>
    <s v="Health"/>
    <n v="11"/>
    <n v="1"/>
    <x v="2"/>
    <x v="0"/>
    <s v="None"/>
  </r>
  <r>
    <n v="5096"/>
    <s v="Kevin Whitaker"/>
    <x v="1"/>
    <n v="36"/>
    <x v="2"/>
    <x v="1"/>
    <x v="4"/>
    <x v="3"/>
    <s v="Mary Welch"/>
    <x v="19"/>
    <x v="0"/>
    <x v="1"/>
    <n v="46811"/>
    <s v="D"/>
    <n v="1567"/>
    <s v="None"/>
    <n v="7"/>
    <n v="3"/>
    <x v="1"/>
    <x v="0"/>
    <s v="Advanced Training"/>
  </r>
  <r>
    <n v="2263"/>
    <s v="Dustin Carter"/>
    <x v="1"/>
    <n v="31"/>
    <x v="1"/>
    <x v="3"/>
    <x v="2"/>
    <x v="1"/>
    <s v="Douglas Miles"/>
    <x v="20"/>
    <x v="1"/>
    <x v="1"/>
    <n v="87538"/>
    <s v="C"/>
    <n v="3588"/>
    <s v="Health + Dental"/>
    <n v="11"/>
    <n v="5"/>
    <x v="1"/>
    <x v="2"/>
    <s v="None"/>
  </r>
  <r>
    <n v="6505"/>
    <s v="Nicole Williamson"/>
    <x v="0"/>
    <n v="28"/>
    <x v="1"/>
    <x v="0"/>
    <x v="1"/>
    <x v="4"/>
    <s v="Jessica Fleming"/>
    <x v="21"/>
    <x v="0"/>
    <x v="1"/>
    <n v="73002"/>
    <s v="C"/>
    <n v="6296"/>
    <s v="Health"/>
    <n v="2"/>
    <n v="5"/>
    <x v="1"/>
    <x v="1"/>
    <s v="Certified Professional"/>
  </r>
  <r>
    <n v="8626"/>
    <s v="Matthew Knight"/>
    <x v="1"/>
    <n v="37"/>
    <x v="2"/>
    <x v="3"/>
    <x v="1"/>
    <x v="3"/>
    <s v="Christine Lee"/>
    <x v="22"/>
    <x v="2"/>
    <x v="2"/>
    <n v="41653"/>
    <s v="D"/>
    <n v="9236"/>
    <s v="None"/>
    <n v="13"/>
    <n v="1"/>
    <x v="1"/>
    <x v="0"/>
    <s v="None"/>
  </r>
  <r>
    <n v="5979"/>
    <s v="Donna Jones"/>
    <x v="0"/>
    <n v="31"/>
    <x v="1"/>
    <x v="0"/>
    <x v="0"/>
    <x v="2"/>
    <s v="Mario Smith DVM"/>
    <x v="23"/>
    <x v="1"/>
    <x v="1"/>
    <n v="67582"/>
    <s v="A"/>
    <n v="1375"/>
    <s v="Health"/>
    <n v="20"/>
    <n v="3"/>
    <x v="1"/>
    <x v="1"/>
    <s v="None"/>
  </r>
  <r>
    <n v="3104"/>
    <s v="Carolyn Bullock"/>
    <x v="0"/>
    <n v="23"/>
    <x v="0"/>
    <x v="3"/>
    <x v="1"/>
    <x v="1"/>
    <s v="Joseph Francis"/>
    <x v="24"/>
    <x v="2"/>
    <x v="1"/>
    <n v="37351"/>
    <s v="D"/>
    <n v="7858"/>
    <s v="Health + Dental"/>
    <n v="18"/>
    <n v="2"/>
    <x v="0"/>
    <x v="1"/>
    <s v="Advanced Training"/>
  </r>
  <r>
    <n v="8967"/>
    <s v="Wendy Gomez"/>
    <x v="0"/>
    <n v="48"/>
    <x v="4"/>
    <x v="4"/>
    <x v="2"/>
    <x v="0"/>
    <s v="Sarah Young"/>
    <x v="25"/>
    <x v="0"/>
    <x v="1"/>
    <n v="36721"/>
    <s v="B"/>
    <n v="8820"/>
    <s v="Health + Dental"/>
    <n v="0"/>
    <n v="2"/>
    <x v="1"/>
    <x v="1"/>
    <s v="Certified Professional"/>
  </r>
  <r>
    <n v="5087"/>
    <s v="Michael Thomas"/>
    <x v="1"/>
    <n v="28"/>
    <x v="1"/>
    <x v="2"/>
    <x v="4"/>
    <x v="0"/>
    <s v="Aaron Hart"/>
    <x v="26"/>
    <x v="1"/>
    <x v="2"/>
    <n v="46326"/>
    <s v="B"/>
    <n v="9189"/>
    <s v="Health + Dental"/>
    <n v="8"/>
    <n v="4"/>
    <x v="0"/>
    <x v="3"/>
    <s v="Advanced Training"/>
  </r>
  <r>
    <n v="3358"/>
    <s v="Kevin Bell"/>
    <x v="1"/>
    <n v="30"/>
    <x v="1"/>
    <x v="1"/>
    <x v="3"/>
    <x v="1"/>
    <s v="Brian Boyd"/>
    <x v="27"/>
    <x v="0"/>
    <x v="0"/>
    <n v="59007"/>
    <s v="C"/>
    <n v="3380"/>
    <s v="Health"/>
    <n v="17"/>
    <n v="3"/>
    <x v="2"/>
    <x v="4"/>
    <s v="Certified Professional"/>
  </r>
  <r>
    <n v="8256"/>
    <s v="Richard Landry"/>
    <x v="1"/>
    <n v="46"/>
    <x v="4"/>
    <x v="3"/>
    <x v="0"/>
    <x v="3"/>
    <s v="Steven Krueger"/>
    <x v="28"/>
    <x v="0"/>
    <x v="1"/>
    <n v="52020"/>
    <s v="B"/>
    <n v="9585"/>
    <s v="Health + Dental"/>
    <n v="0"/>
    <n v="4"/>
    <x v="1"/>
    <x v="4"/>
    <s v="None"/>
  </r>
  <r>
    <n v="5763"/>
    <s v="George Hurley"/>
    <x v="1"/>
    <n v="44"/>
    <x v="2"/>
    <x v="1"/>
    <x v="2"/>
    <x v="1"/>
    <s v="Debra Williams"/>
    <x v="29"/>
    <x v="2"/>
    <x v="1"/>
    <n v="98961"/>
    <s v="D"/>
    <n v="2688"/>
    <s v="Health"/>
    <n v="2"/>
    <n v="5"/>
    <x v="1"/>
    <x v="4"/>
    <s v="Certified Professional"/>
  </r>
  <r>
    <n v="6838"/>
    <s v="Mark Lopez"/>
    <x v="1"/>
    <n v="45"/>
    <x v="2"/>
    <x v="2"/>
    <x v="3"/>
    <x v="2"/>
    <s v="Karen Mitchell"/>
    <x v="30"/>
    <x v="2"/>
    <x v="1"/>
    <n v="81943"/>
    <s v="C"/>
    <n v="2255"/>
    <s v="Health"/>
    <n v="18"/>
    <n v="2"/>
    <x v="2"/>
    <x v="2"/>
    <s v="Certified Professional"/>
  </r>
  <r>
    <n v="9544"/>
    <s v="Robert Williams"/>
    <x v="1"/>
    <n v="52"/>
    <x v="4"/>
    <x v="4"/>
    <x v="2"/>
    <x v="1"/>
    <s v="Joseph Sanders"/>
    <x v="31"/>
    <x v="2"/>
    <x v="1"/>
    <n v="47627"/>
    <s v="C"/>
    <n v="1221"/>
    <s v="None"/>
    <n v="4"/>
    <n v="3"/>
    <x v="2"/>
    <x v="1"/>
    <s v="None"/>
  </r>
  <r>
    <n v="8012"/>
    <s v="Mary Schmidt"/>
    <x v="0"/>
    <n v="52"/>
    <x v="4"/>
    <x v="0"/>
    <x v="0"/>
    <x v="4"/>
    <s v="Shelly George"/>
    <x v="32"/>
    <x v="2"/>
    <x v="1"/>
    <n v="56162"/>
    <s v="D"/>
    <n v="6560"/>
    <s v="Health + Dental"/>
    <n v="9"/>
    <n v="4"/>
    <x v="1"/>
    <x v="3"/>
    <s v="None"/>
  </r>
  <r>
    <n v="9374"/>
    <s v="Mary Martinez"/>
    <x v="0"/>
    <n v="42"/>
    <x v="2"/>
    <x v="1"/>
    <x v="2"/>
    <x v="2"/>
    <s v="Nicole Houston"/>
    <x v="33"/>
    <x v="1"/>
    <x v="2"/>
    <n v="95734"/>
    <s v="C"/>
    <n v="4854"/>
    <s v="Health"/>
    <n v="13"/>
    <n v="2"/>
    <x v="0"/>
    <x v="0"/>
    <s v="Certified Professional"/>
  </r>
  <r>
    <n v="3487"/>
    <s v="Paul Hall"/>
    <x v="1"/>
    <n v="58"/>
    <x v="3"/>
    <x v="1"/>
    <x v="1"/>
    <x v="3"/>
    <s v="Kristin Shaffer"/>
    <x v="34"/>
    <x v="1"/>
    <x v="2"/>
    <n v="74789"/>
    <s v="C"/>
    <n v="8101"/>
    <s v="Health + Dental"/>
    <n v="14"/>
    <n v="5"/>
    <x v="1"/>
    <x v="2"/>
    <s v="None"/>
  </r>
  <r>
    <n v="8445"/>
    <s v="Samantha Foster"/>
    <x v="0"/>
    <n v="24"/>
    <x v="0"/>
    <x v="4"/>
    <x v="0"/>
    <x v="3"/>
    <s v="Joel Aguilar"/>
    <x v="35"/>
    <x v="0"/>
    <x v="2"/>
    <n v="30137"/>
    <s v="B"/>
    <n v="4031"/>
    <s v="None"/>
    <n v="5"/>
    <n v="3"/>
    <x v="2"/>
    <x v="1"/>
    <s v="Certified Professional"/>
  </r>
  <r>
    <n v="1550"/>
    <s v="Timothy Aguilar"/>
    <x v="1"/>
    <n v="21"/>
    <x v="0"/>
    <x v="1"/>
    <x v="0"/>
    <x v="0"/>
    <s v="Michael Wade"/>
    <x v="36"/>
    <x v="0"/>
    <x v="2"/>
    <n v="95510"/>
    <s v="C"/>
    <n v="6811"/>
    <s v="Health"/>
    <n v="18"/>
    <n v="4"/>
    <x v="1"/>
    <x v="4"/>
    <s v="Certified Professional"/>
  </r>
  <r>
    <n v="9968"/>
    <s v="Charles Andrews"/>
    <x v="1"/>
    <n v="58"/>
    <x v="3"/>
    <x v="1"/>
    <x v="3"/>
    <x v="0"/>
    <s v="Jessica Walsh"/>
    <x v="37"/>
    <x v="1"/>
    <x v="0"/>
    <n v="80325"/>
    <s v="B"/>
    <n v="6230"/>
    <s v="Health"/>
    <n v="5"/>
    <n v="4"/>
    <x v="2"/>
    <x v="2"/>
    <s v="Advanced Training"/>
  </r>
  <r>
    <n v="8029"/>
    <s v="Veronica Nelson"/>
    <x v="0"/>
    <n v="57"/>
    <x v="3"/>
    <x v="3"/>
    <x v="4"/>
    <x v="4"/>
    <s v="Kelly Mack"/>
    <x v="38"/>
    <x v="2"/>
    <x v="1"/>
    <n v="34109"/>
    <s v="B"/>
    <n v="9232"/>
    <s v="Health"/>
    <n v="13"/>
    <n v="3"/>
    <x v="0"/>
    <x v="0"/>
    <s v="Certified Professional"/>
  </r>
  <r>
    <n v="8847"/>
    <s v="Chris Sanchez"/>
    <x v="1"/>
    <n v="41"/>
    <x v="2"/>
    <x v="3"/>
    <x v="3"/>
    <x v="0"/>
    <s v="John Conley"/>
    <x v="39"/>
    <x v="2"/>
    <x v="2"/>
    <n v="73330"/>
    <s v="C"/>
    <n v="2276"/>
    <s v="Health + Dental"/>
    <n v="5"/>
    <n v="1"/>
    <x v="2"/>
    <x v="1"/>
    <s v="Advanced Training"/>
  </r>
  <r>
    <n v="1955"/>
    <s v="Cassie Galvan"/>
    <x v="0"/>
    <n v="58"/>
    <x v="3"/>
    <x v="2"/>
    <x v="2"/>
    <x v="1"/>
    <s v="Aaron Baker"/>
    <x v="40"/>
    <x v="1"/>
    <x v="2"/>
    <n v="46567"/>
    <s v="A"/>
    <n v="2825"/>
    <s v="Health"/>
    <n v="15"/>
    <n v="3"/>
    <x v="2"/>
    <x v="4"/>
    <s v="Advanced Training"/>
  </r>
  <r>
    <n v="4522"/>
    <s v="Jessica Jones"/>
    <x v="0"/>
    <n v="36"/>
    <x v="2"/>
    <x v="0"/>
    <x v="4"/>
    <x v="0"/>
    <s v="Christopher Bass"/>
    <x v="41"/>
    <x v="1"/>
    <x v="1"/>
    <n v="39795"/>
    <s v="A"/>
    <n v="1670"/>
    <s v="None"/>
    <n v="0"/>
    <n v="2"/>
    <x v="1"/>
    <x v="3"/>
    <s v="None"/>
  </r>
  <r>
    <n v="3078"/>
    <s v="Emily Walker"/>
    <x v="0"/>
    <n v="21"/>
    <x v="0"/>
    <x v="0"/>
    <x v="0"/>
    <x v="4"/>
    <s v="Sean Tucker PhD"/>
    <x v="42"/>
    <x v="1"/>
    <x v="2"/>
    <n v="59506"/>
    <s v="A"/>
    <n v="4428"/>
    <s v="Health + Dental"/>
    <n v="0"/>
    <n v="1"/>
    <x v="2"/>
    <x v="3"/>
    <s v="Certified Professional"/>
  </r>
  <r>
    <n v="6357"/>
    <s v="Vickie Lewis"/>
    <x v="0"/>
    <n v="46"/>
    <x v="4"/>
    <x v="2"/>
    <x v="1"/>
    <x v="4"/>
    <s v="Jacob Scott"/>
    <x v="43"/>
    <x v="1"/>
    <x v="2"/>
    <n v="49058"/>
    <s v="B"/>
    <n v="4396"/>
    <s v="None"/>
    <n v="5"/>
    <n v="1"/>
    <x v="2"/>
    <x v="3"/>
    <s v="None"/>
  </r>
  <r>
    <n v="7951"/>
    <s v="Alexis Clark"/>
    <x v="0"/>
    <n v="36"/>
    <x v="2"/>
    <x v="3"/>
    <x v="2"/>
    <x v="4"/>
    <s v="Joel Park"/>
    <x v="44"/>
    <x v="1"/>
    <x v="0"/>
    <n v="98612"/>
    <s v="A"/>
    <n v="1168"/>
    <s v="None"/>
    <n v="9"/>
    <n v="2"/>
    <x v="1"/>
    <x v="0"/>
    <s v="Certified Professional"/>
  </r>
  <r>
    <n v="9228"/>
    <s v="Robert Davis"/>
    <x v="1"/>
    <n v="41"/>
    <x v="2"/>
    <x v="4"/>
    <x v="3"/>
    <x v="1"/>
    <s v="Russell Marshall"/>
    <x v="45"/>
    <x v="2"/>
    <x v="1"/>
    <n v="38201"/>
    <s v="A"/>
    <n v="7111"/>
    <s v="Health"/>
    <n v="8"/>
    <n v="4"/>
    <x v="0"/>
    <x v="3"/>
    <s v="None"/>
  </r>
  <r>
    <n v="8988"/>
    <s v="Daniel Brown MD"/>
    <x v="1"/>
    <n v="25"/>
    <x v="0"/>
    <x v="0"/>
    <x v="2"/>
    <x v="2"/>
    <s v="James Holden"/>
    <x v="46"/>
    <x v="2"/>
    <x v="1"/>
    <n v="92919"/>
    <s v="D"/>
    <n v="9497"/>
    <s v="Health"/>
    <n v="7"/>
    <n v="2"/>
    <x v="2"/>
    <x v="3"/>
    <s v="Advanced Training"/>
  </r>
  <r>
    <n v="1952"/>
    <s v="Anna Payne"/>
    <x v="0"/>
    <n v="29"/>
    <x v="1"/>
    <x v="4"/>
    <x v="0"/>
    <x v="1"/>
    <s v="Thomas Murphy"/>
    <x v="47"/>
    <x v="0"/>
    <x v="2"/>
    <n v="45188"/>
    <s v="A"/>
    <n v="9591"/>
    <s v="Health + Dental"/>
    <n v="18"/>
    <n v="3"/>
    <x v="0"/>
    <x v="3"/>
    <s v="None"/>
  </r>
  <r>
    <n v="5760"/>
    <s v="Rhonda Pena"/>
    <x v="0"/>
    <n v="59"/>
    <x v="3"/>
    <x v="2"/>
    <x v="1"/>
    <x v="0"/>
    <s v="Mark Abbott"/>
    <x v="48"/>
    <x v="0"/>
    <x v="1"/>
    <n v="34927"/>
    <s v="D"/>
    <n v="6996"/>
    <s v="Health + Dental"/>
    <n v="16"/>
    <n v="1"/>
    <x v="1"/>
    <x v="0"/>
    <s v="Certified Professional"/>
  </r>
  <r>
    <n v="5742"/>
    <s v="Nicole Gonzalez"/>
    <x v="0"/>
    <n v="27"/>
    <x v="1"/>
    <x v="0"/>
    <x v="2"/>
    <x v="3"/>
    <s v="Robin Lynch"/>
    <x v="49"/>
    <x v="0"/>
    <x v="1"/>
    <n v="33183"/>
    <s v="A"/>
    <n v="1659"/>
    <s v="None"/>
    <n v="11"/>
    <n v="1"/>
    <x v="0"/>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667B5-BB61-4DCA-9048-AFECD8BB734A}" name="Catof Ag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5:M12"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20">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2" type="button" dataOnly="0" labelOnly="1" outline="0" axis="axisCol" fieldPosition="0"/>
    </format>
    <format dxfId="112">
      <pivotArea type="topRight" dataOnly="0" labelOnly="1" outline="0" fieldPosition="0"/>
    </format>
    <format dxfId="111">
      <pivotArea field="4" type="button" dataOnly="0" labelOnly="1" outline="0" axis="axisRow" fieldPosition="0"/>
    </format>
    <format dxfId="110">
      <pivotArea dataOnly="0" labelOnly="1" fieldPosition="0">
        <references count="1">
          <reference field="4" count="0"/>
        </references>
      </pivotArea>
    </format>
    <format dxfId="109">
      <pivotArea dataOnly="0" labelOnly="1" grandRow="1" outline="0" fieldPosition="0"/>
    </format>
    <format dxfId="108">
      <pivotArea dataOnly="0" labelOnly="1" fieldPosition="0">
        <references count="1">
          <reference field="2" count="0"/>
        </references>
      </pivotArea>
    </format>
    <format dxfId="107">
      <pivotArea dataOnly="0" labelOnly="1" grandCol="1"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2" type="button" dataOnly="0" labelOnly="1" outline="0" axis="axisCol" fieldPosition="0"/>
    </format>
    <format dxfId="102">
      <pivotArea type="topRight" dataOnly="0" labelOnly="1" outline="0" fieldPosition="0"/>
    </format>
    <format dxfId="101">
      <pivotArea field="4" type="button" dataOnly="0" labelOnly="1" outline="0" axis="axisRow" fieldPosition="0"/>
    </format>
    <format dxfId="100">
      <pivotArea dataOnly="0" labelOnly="1" fieldPosition="0">
        <references count="1">
          <reference field="4" count="0"/>
        </references>
      </pivotArea>
    </format>
    <format dxfId="99">
      <pivotArea dataOnly="0" labelOnly="1" grandRow="1" outline="0" fieldPosition="0"/>
    </format>
    <format dxfId="98">
      <pivotArea dataOnly="0" labelOnly="1" fieldPosition="0">
        <references count="1">
          <reference field="2" count="0"/>
        </references>
      </pivotArea>
    </format>
    <format dxfId="97">
      <pivotArea dataOnly="0" labelOnly="1" grandCol="1" outline="0"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1E914-3716-4B98-A3FA-932A1D2079E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2:J38"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1"/>
  </dataFields>
  <formats count="16">
    <format dxfId="132">
      <pivotArea collapsedLevelsAreSubtotals="1" fieldPosition="0">
        <references count="1">
          <reference field="7" count="0"/>
        </references>
      </pivotArea>
    </format>
    <format dxfId="131">
      <pivotArea collapsedLevelsAreSubtotals="1" fieldPosition="0">
        <references count="1">
          <reference field="7" count="0"/>
        </references>
      </pivotArea>
    </format>
    <format dxfId="130">
      <pivotArea collapsedLevelsAreSubtotals="1" fieldPosition="0">
        <references count="1">
          <reference field="7" count="0"/>
        </references>
      </pivotArea>
    </format>
    <format dxfId="129">
      <pivotArea collapsedLevelsAreSubtotals="1" fieldPosition="0">
        <references count="1">
          <reference field="7" count="0"/>
        </references>
      </pivotArea>
    </format>
    <format dxfId="128">
      <pivotArea type="all" dataOnly="0" outline="0" fieldPosition="0"/>
    </format>
    <format dxfId="127">
      <pivotArea outline="0" collapsedLevelsAreSubtotals="1" fieldPosition="0"/>
    </format>
    <format dxfId="126">
      <pivotArea field="7" type="button" dataOnly="0" labelOnly="1" outline="0" axis="axisRow" fieldPosition="0"/>
    </format>
    <format dxfId="125">
      <pivotArea dataOnly="0" labelOnly="1" fieldPosition="0">
        <references count="1">
          <reference field="7" count="0"/>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7" type="button" dataOnly="0" labelOnly="1" outline="0" axis="axisRow" fieldPosition="0"/>
    </format>
    <format dxfId="119">
      <pivotArea dataOnly="0" labelOnly="1" fieldPosition="0">
        <references count="1">
          <reference field="7" count="0"/>
        </references>
      </pivotArea>
    </format>
    <format dxfId="118">
      <pivotArea dataOnly="0" labelOnly="1" grandRow="1" outline="0" fieldPosition="0"/>
    </format>
    <format dxfId="117">
      <pivotArea dataOnly="0" labelOnly="1" outline="0" axis="axisValues" fieldPosition="0"/>
    </format>
  </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6B94A-7A11-42B1-937F-6BF3687B47F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5:C41"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12">
    <format dxfId="144">
      <pivotArea type="all" dataOnly="0" outline="0" fieldPosition="0"/>
    </format>
    <format dxfId="143">
      <pivotArea outline="0" collapsedLevelsAreSubtotals="1" fieldPosition="0"/>
    </format>
    <format dxfId="142">
      <pivotArea field="19" type="button" dataOnly="0" labelOnly="1" outline="0" axis="axisRow" fieldPosition="0"/>
    </format>
    <format dxfId="141">
      <pivotArea dataOnly="0" labelOnly="1" fieldPosition="0">
        <references count="1">
          <reference field="19"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19" type="button" dataOnly="0" labelOnly="1" outline="0" axis="axisRow" fieldPosition="0"/>
    </format>
    <format dxfId="135">
      <pivotArea dataOnly="0" labelOnly="1" fieldPosition="0">
        <references count="1">
          <reference field="19" count="0"/>
        </references>
      </pivotArea>
    </format>
    <format dxfId="134">
      <pivotArea dataOnly="0" labelOnly="1" grandRow="1" outline="0" fieldPosition="0"/>
    </format>
    <format dxfId="133">
      <pivotArea dataOnly="0" labelOnly="1" outline="0" axis="axisValues" fieldPosition="0"/>
    </format>
  </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675F62-17EB-4B9E-80D7-60255ED0F661}" name="Departmentof job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5:H11"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3">
    <format dxfId="157">
      <pivotArea collapsedLevelsAreSubtotals="1" fieldPosition="0">
        <references count="1">
          <reference field="6" count="0"/>
        </references>
      </pivotArea>
    </format>
    <format dxfId="156">
      <pivotArea type="all" dataOnly="0" outline="0" fieldPosition="0"/>
    </format>
    <format dxfId="155">
      <pivotArea outline="0" collapsedLevelsAreSubtotals="1" fieldPosition="0"/>
    </format>
    <format dxfId="154">
      <pivotArea field="6" type="button" dataOnly="0" labelOnly="1" outline="0" axis="axisRow" fieldPosition="0"/>
    </format>
    <format dxfId="153">
      <pivotArea dataOnly="0" labelOnly="1" fieldPosition="0">
        <references count="1">
          <reference field="6" count="0"/>
        </references>
      </pivotArea>
    </format>
    <format dxfId="152">
      <pivotArea dataOnly="0" labelOnly="1" grandRow="1" outline="0" fieldPosition="0"/>
    </format>
    <format dxfId="151">
      <pivotArea dataOnly="0" labelOnly="1" outline="0" fieldPosition="0">
        <references count="1">
          <reference field="4294967294" count="2">
            <x v="0"/>
            <x v="1"/>
          </reference>
        </references>
      </pivotArea>
    </format>
    <format dxfId="150">
      <pivotArea type="all" dataOnly="0" outline="0" fieldPosition="0"/>
    </format>
    <format dxfId="149">
      <pivotArea outline="0" collapsedLevelsAreSubtotals="1" fieldPosition="0"/>
    </format>
    <format dxfId="148">
      <pivotArea field="6" type="button" dataOnly="0" labelOnly="1" outline="0" axis="axisRow" fieldPosition="0"/>
    </format>
    <format dxfId="147">
      <pivotArea dataOnly="0" labelOnly="1" fieldPosition="0">
        <references count="1">
          <reference field="6" count="0"/>
        </references>
      </pivotArea>
    </format>
    <format dxfId="146">
      <pivotArea dataOnly="0" labelOnly="1" grandRow="1" outline="0" fieldPosition="0"/>
    </format>
    <format dxfId="14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C49EF-C220-4D78-8C45-9B12CB97869C}" name="EmplotymentStu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C9" firstHeaderRow="1" firstDataRow="1" firstDataCol="1"/>
  <pivotFields count="21">
    <pivotField showAll="0"/>
    <pivotField dataField="1" showAll="0"/>
    <pivotField showAll="0">
      <items count="3">
        <item x="0"/>
        <item x="1"/>
        <item t="default"/>
      </items>
    </pivotField>
    <pivotField showAll="0"/>
    <pivotField showAll="0"/>
    <pivotField showAll="0">
      <items count="6">
        <item h="1" x="1"/>
        <item h="1" x="0"/>
        <item h="1" x="4"/>
        <item h="1" x="3"/>
        <item x="2"/>
        <item t="default"/>
      </items>
    </pivotField>
    <pivotField showAll="0"/>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6">
        <item h="1" x="3"/>
        <item h="1" x="0"/>
        <item h="1" x="4"/>
        <item x="1"/>
        <item h="1" x="2"/>
        <item t="default"/>
      </items>
    </pivotField>
    <pivotField showAll="0"/>
  </pivotFields>
  <rowFields count="1">
    <field x="10"/>
  </rowFields>
  <rowItems count="4">
    <i>
      <x/>
    </i>
    <i>
      <x v="1"/>
    </i>
    <i>
      <x v="2"/>
    </i>
    <i t="grand">
      <x/>
    </i>
  </rowItems>
  <colItems count="1">
    <i/>
  </colItems>
  <dataFields count="1">
    <dataField name="Count of Full Name" fld="1" subtotal="count" baseField="0" baseItem="0"/>
  </dataFields>
  <formats count="12">
    <format dxfId="169">
      <pivotArea type="all" dataOnly="0" outline="0" fieldPosition="0"/>
    </format>
    <format dxfId="168">
      <pivotArea outline="0" collapsedLevelsAreSubtotals="1" fieldPosition="0"/>
    </format>
    <format dxfId="167">
      <pivotArea field="10" type="button" dataOnly="0" labelOnly="1" outline="0" axis="axisRow" fieldPosition="0"/>
    </format>
    <format dxfId="166">
      <pivotArea dataOnly="0" labelOnly="1" fieldPosition="0">
        <references count="1">
          <reference field="10" count="0"/>
        </references>
      </pivotArea>
    </format>
    <format dxfId="165">
      <pivotArea dataOnly="0" labelOnly="1" grandRow="1" outline="0"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10" type="button" dataOnly="0" labelOnly="1" outline="0" axis="axisRow" fieldPosition="0"/>
    </format>
    <format dxfId="160">
      <pivotArea dataOnly="0" labelOnly="1" fieldPosition="0">
        <references count="1">
          <reference field="10" count="0"/>
        </references>
      </pivotArea>
    </format>
    <format dxfId="159">
      <pivotArea dataOnly="0" labelOnly="1" grandRow="1" outline="0" fieldPosition="0"/>
    </format>
    <format dxfId="158">
      <pivotArea dataOnly="0" labelOnly="1" outline="0" axis="axisValues" fieldPosition="0"/>
    </format>
  </formats>
  <pivotTableStyleInfo name="PivotStyleLight16" showRowHeaders="1" showColHeaders="1" showRowStripes="0" showColStripes="0" showLastColumn="1"/>
  <filters count="1">
    <filter fld="9" type="dateBetween" evalOrder="-1" id="50"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F3245B-B90D-4DF0-B5A5-1928992D08F3}" name="Workpla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C24"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12">
    <format dxfId="181">
      <pivotArea type="all" dataOnly="0" outline="0" fieldPosition="0"/>
    </format>
    <format dxfId="180">
      <pivotArea outline="0" collapsedLevelsAreSubtotals="1" fieldPosition="0"/>
    </format>
    <format dxfId="179">
      <pivotArea field="11" type="button" dataOnly="0" labelOnly="1" outline="0" axis="axisRow" fieldPosition="0"/>
    </format>
    <format dxfId="178">
      <pivotArea dataOnly="0" labelOnly="1" fieldPosition="0">
        <references count="1">
          <reference field="11"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11" type="button" dataOnly="0" labelOnly="1" outline="0" axis="axisRow" fieldPosition="0"/>
    </format>
    <format dxfId="172">
      <pivotArea dataOnly="0" labelOnly="1" fieldPosition="0">
        <references count="1">
          <reference field="11" count="0"/>
        </references>
      </pivotArea>
    </format>
    <format dxfId="171">
      <pivotArea dataOnly="0" labelOnly="1" grandRow="1" outline="0" fieldPosition="0"/>
    </format>
    <format dxfId="170">
      <pivotArea dataOnly="0" labelOnly="1" outline="0" axis="axisValues" fieldPosition="0"/>
    </format>
  </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B787D1-BBF7-4B0C-BAC1-A5FDB765122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F35:G41"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numFmtId="14"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12">
    <format dxfId="193">
      <pivotArea type="all" dataOnly="0" outline="0" fieldPosition="0"/>
    </format>
    <format dxfId="192">
      <pivotArea outline="0" collapsedLevelsAreSubtotals="1" fieldPosition="0"/>
    </format>
    <format dxfId="191">
      <pivotArea field="5" type="button" dataOnly="0" labelOnly="1" outline="0" axis="axisRow" fieldPosition="0"/>
    </format>
    <format dxfId="190">
      <pivotArea dataOnly="0" labelOnly="1" fieldPosition="0">
        <references count="1">
          <reference field="5"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5" type="button" dataOnly="0" labelOnly="1" outline="0" axis="axisRow" fieldPosition="0"/>
    </format>
    <format dxfId="184">
      <pivotArea dataOnly="0" labelOnly="1" fieldPosition="0">
        <references count="1">
          <reference field="5" count="0"/>
        </references>
      </pivotArea>
    </format>
    <format dxfId="183">
      <pivotArea dataOnly="0" labelOnly="1" grandRow="1" outline="0" fieldPosition="0"/>
    </format>
    <format dxfId="182">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49" name="Date of Hir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95E1CE-146E-4189-A9BF-7D755A21AC81}" autoFormatId="16" applyNumberFormats="0" applyBorderFormats="0" applyFontFormats="0" applyPatternFormats="0" applyAlignmentFormats="0" applyWidthHeightFormats="0">
  <queryTableRefresh nextId="22">
    <queryTableFields count="21">
      <queryTableField id="1" name="Employee ID" tableColumnId="1"/>
      <queryTableField id="2" name="Full Name" tableColumnId="2"/>
      <queryTableField id="3" name="Gender" tableColumnId="3"/>
      <queryTableField id="4" name="Age" tableColumnId="4"/>
      <queryTableField id="5" name="Age range" tableColumnId="5"/>
      <queryTableField id="6" name="Region" tableColumnId="6"/>
      <queryTableField id="7" name="Job Title" tableColumnId="7"/>
      <queryTableField id="8" name="Department" tableColumnId="8"/>
      <queryTableField id="9" name="Manager/Supervisor" tableColumnId="9"/>
      <queryTableField id="10" name="Date of Hire" tableColumnId="10"/>
      <queryTableField id="11" name="Employment Status" tableColumnId="11"/>
      <queryTableField id="12" name="Work Location" tableColumnId="12"/>
      <queryTableField id="13" name="Salary" tableColumnId="13"/>
      <queryTableField id="14" name="Pay Grade" tableColumnId="14"/>
      <queryTableField id="15" name="Bonus/Allowances" tableColumnId="15"/>
      <queryTableField id="16" name="Insurance Details" tableColumnId="16"/>
      <queryTableField id="17" name="Leave Taken" tableColumnId="17"/>
      <queryTableField id="18" name="Performance Rating" tableColumnId="18"/>
      <queryTableField id="19" name="Training Programs Attended" tableColumnId="19"/>
      <queryTableField id="20" name="Skills" tableColumnId="20"/>
      <queryTableField id="21" name="Certifications" tableColumnId="2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81AE88-887D-4435-A21B-252CD5C1E255}" sourceName="Gender">
  <pivotTables>
    <pivotTable tabId="3" name="Departmentof jobs"/>
    <pivotTable tabId="3" name="Catof Age"/>
    <pivotTable tabId="3" name="EmplotymentStuts"/>
    <pivotTable tabId="3" name="PivotTable1"/>
    <pivotTable tabId="3" name="PivotTable4"/>
    <pivotTable tabId="3" name="PivotTable5"/>
    <pivotTable tabId="3" name="Workplace"/>
  </pivotTables>
  <data>
    <tabular pivotCacheId="7212650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B09DC76-1605-49FF-956E-04826B74C365}" sourceName="Department">
  <pivotTables>
    <pivotTable tabId="3" name="Departmentof jobs"/>
    <pivotTable tabId="3" name="Catof Age"/>
    <pivotTable tabId="3" name="EmplotymentStuts"/>
    <pivotTable tabId="3" name="PivotTable1"/>
    <pivotTable tabId="3" name="PivotTable4"/>
    <pivotTable tabId="3" name="PivotTable5"/>
    <pivotTable tabId="3" name="Workplace"/>
  </pivotTables>
  <data>
    <tabular pivotCacheId="721265098">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7BD651C-D5EC-4269-8AA3-0EDF3F5CCA2E}" cache="Slicer_Gender" caption="Gender" columnCount="2" style="Slicer Style 5" rowHeight="257175"/>
  <slicer name="Department" xr10:uid="{A64101CC-4BBF-4029-BC44-C00E3ADBFDD6}" cache="Slicer_Department" caption="Department" columnCount="5" style="Slicer Style 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8C4188-43BF-43C9-8A3E-CD9774EEFB29}" name="Sheet1" displayName="Sheet1" ref="A1:U51" tableType="queryTable" totalsRowShown="0">
  <autoFilter ref="A1:U51" xr:uid="{0E8C4188-43BF-43C9-8A3E-CD9774EEFB29}"/>
  <tableColumns count="21">
    <tableColumn id="1" xr3:uid="{C733C5B3-7D04-4179-8F6D-4686DA2CA8EC}" uniqueName="1" name="Employee ID" queryTableFieldId="1"/>
    <tableColumn id="2" xr3:uid="{519FBB47-0F96-475B-B9C7-182ED80909B3}" uniqueName="2" name="Full Name" queryTableFieldId="2" dataDxfId="208"/>
    <tableColumn id="3" xr3:uid="{845F471C-B590-406D-9DDE-40B0FF372232}" uniqueName="3" name="Gender" queryTableFieldId="3" dataDxfId="207"/>
    <tableColumn id="4" xr3:uid="{74D97FA5-F73C-46FE-BAFF-F90C056566AD}" uniqueName="4" name="Age" queryTableFieldId="4"/>
    <tableColumn id="5" xr3:uid="{B1AB6143-2B34-4386-9E76-FC5D9124AB39}" uniqueName="5" name="Age range" queryTableFieldId="5" dataDxfId="206"/>
    <tableColumn id="6" xr3:uid="{BE44F05B-E7D1-4DBD-9A0F-683A4A66BE40}" uniqueName="6" name="Region" queryTableFieldId="6" dataDxfId="205"/>
    <tableColumn id="7" xr3:uid="{54662BC2-5CB2-42F8-96CA-6BCFEB2676FD}" uniqueName="7" name="Job Title" queryTableFieldId="7" dataDxfId="204"/>
    <tableColumn id="8" xr3:uid="{4151EEE7-EB73-4FDD-A05B-EABCC8E2D968}" uniqueName="8" name="Department" queryTableFieldId="8" dataDxfId="203"/>
    <tableColumn id="9" xr3:uid="{4DA29196-B88F-45C2-82B3-9EAC9D6017BA}" uniqueName="9" name="Manager/Supervisor" queryTableFieldId="9" dataDxfId="202"/>
    <tableColumn id="10" xr3:uid="{72C16D46-EA79-4958-B533-43D758A04E0B}" uniqueName="10" name="Date of Hire" queryTableFieldId="10" dataDxfId="201"/>
    <tableColumn id="11" xr3:uid="{37CFF8DB-A72D-4BB4-ADED-541886A9ABAE}" uniqueName="11" name="Employment Status" queryTableFieldId="11" dataDxfId="200"/>
    <tableColumn id="12" xr3:uid="{53EC51E9-70A9-4FE8-8826-A8BE94E69CE8}" uniqueName="12" name="Work Location" queryTableFieldId="12" dataDxfId="199"/>
    <tableColumn id="13" xr3:uid="{DB2413BE-FD59-491C-88B1-2172C2D76841}" uniqueName="13" name="Salary" queryTableFieldId="13"/>
    <tableColumn id="14" xr3:uid="{8C317954-159A-4BF4-A6C9-3D24A9DB5881}" uniqueName="14" name="Pay Grade" queryTableFieldId="14" dataDxfId="198"/>
    <tableColumn id="15" xr3:uid="{58861216-D03D-444C-A217-77FCD87094B6}" uniqueName="15" name="Bonus/Allowances" queryTableFieldId="15"/>
    <tableColumn id="16" xr3:uid="{B184FC89-038E-472B-937A-53056F96CF7B}" uniqueName="16" name="Insurance Details" queryTableFieldId="16" dataDxfId="197"/>
    <tableColumn id="17" xr3:uid="{B394CB33-8C9A-48FD-9569-CD9B72D2023F}" uniqueName="17" name="Leave Taken" queryTableFieldId="17"/>
    <tableColumn id="18" xr3:uid="{5993C820-B291-4F2C-BCE2-02BE74639C4E}" uniqueName="18" name="Performance Rating" queryTableFieldId="18"/>
    <tableColumn id="19" xr3:uid="{9E51F6B1-6779-448A-B0C8-E3FCE9B4753D}" uniqueName="19" name="Training Programs Attended" queryTableFieldId="19" dataDxfId="196"/>
    <tableColumn id="20" xr3:uid="{5DA0D400-98FB-4388-A102-2D7B919E2A2C}" uniqueName="20" name="Skills" queryTableFieldId="20" dataDxfId="195"/>
    <tableColumn id="21" xr3:uid="{658CE78C-1770-4828-90A1-F206968852BE}" uniqueName="21" name="Certifications" queryTableFieldId="21" dataDxfId="19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5DA8-8132-415D-A8B3-CA6D26ED2975}">
  <sheetPr>
    <tabColor theme="1" tint="0.249977111117893"/>
  </sheetPr>
  <dimension ref="BA17"/>
  <sheetViews>
    <sheetView showGridLines="0" showRowColHeaders="0" tabSelected="1" topLeftCell="C1" zoomScale="42" zoomScaleNormal="41" workbookViewId="0">
      <selection activeCell="AY16" sqref="AY16"/>
    </sheetView>
  </sheetViews>
  <sheetFormatPr defaultRowHeight="15" x14ac:dyDescent="0.25"/>
  <cols>
    <col min="1" max="16384" width="9.140625" style="1"/>
  </cols>
  <sheetData>
    <row r="17" spans="53:53" x14ac:dyDescent="0.25">
      <c r="BA17" s="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E081-B7DC-4C25-9025-363DA7072183}">
  <sheetPr>
    <tabColor theme="3" tint="0.249977111117893"/>
  </sheetPr>
  <dimension ref="A1:U51"/>
  <sheetViews>
    <sheetView topLeftCell="A2" workbookViewId="0">
      <selection activeCell="G9" sqref="G9"/>
    </sheetView>
  </sheetViews>
  <sheetFormatPr defaultRowHeight="15" x14ac:dyDescent="0.25"/>
  <cols>
    <col min="1" max="1" width="14.7109375" bestFit="1" customWidth="1"/>
    <col min="2" max="2" width="17.5703125" bestFit="1" customWidth="1"/>
    <col min="3" max="3" width="10" bestFit="1" customWidth="1"/>
    <col min="4" max="4" width="6.5703125" bestFit="1" customWidth="1"/>
    <col min="5" max="5" width="12" bestFit="1" customWidth="1"/>
    <col min="6" max="6" width="9.5703125" bestFit="1" customWidth="1"/>
    <col min="7" max="7" width="12.42578125" bestFit="1" customWidth="1"/>
    <col min="8" max="8" width="14.140625" bestFit="1" customWidth="1"/>
    <col min="9" max="9" width="21.5703125" bestFit="1" customWidth="1"/>
    <col min="10" max="10" width="14.140625" bestFit="1" customWidth="1"/>
    <col min="11" max="11" width="21.140625" bestFit="1" customWidth="1"/>
    <col min="12" max="12" width="16.28515625" bestFit="1" customWidth="1"/>
    <col min="13" max="13" width="8.7109375" bestFit="1" customWidth="1"/>
    <col min="14" max="14" width="12.28515625" bestFit="1" customWidth="1"/>
    <col min="15" max="15" width="20" bestFit="1" customWidth="1"/>
    <col min="16" max="16" width="19.140625" bestFit="1" customWidth="1"/>
    <col min="17" max="17" width="14.28515625" bestFit="1" customWidth="1"/>
    <col min="18" max="18" width="21.28515625" bestFit="1" customWidth="1"/>
    <col min="19" max="19" width="28.5703125" bestFit="1" customWidth="1"/>
    <col min="20" max="20" width="15.28515625" bestFit="1" customWidth="1"/>
    <col min="21" max="21" width="20.140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4294</v>
      </c>
      <c r="B2" t="s">
        <v>21</v>
      </c>
      <c r="C2" t="s">
        <v>22</v>
      </c>
      <c r="D2">
        <v>25</v>
      </c>
      <c r="E2" t="s">
        <v>23</v>
      </c>
      <c r="F2" t="s">
        <v>24</v>
      </c>
      <c r="G2" t="s">
        <v>25</v>
      </c>
      <c r="H2" t="s">
        <v>26</v>
      </c>
      <c r="I2" t="s">
        <v>27</v>
      </c>
      <c r="J2" s="2">
        <v>43539</v>
      </c>
      <c r="K2" t="s">
        <v>28</v>
      </c>
      <c r="L2" t="s">
        <v>29</v>
      </c>
      <c r="M2">
        <v>53700</v>
      </c>
      <c r="N2" t="s">
        <v>30</v>
      </c>
      <c r="O2">
        <v>1463</v>
      </c>
      <c r="P2" t="s">
        <v>31</v>
      </c>
      <c r="Q2">
        <v>1</v>
      </c>
      <c r="R2">
        <v>1</v>
      </c>
      <c r="S2" t="s">
        <v>32</v>
      </c>
      <c r="T2" t="s">
        <v>33</v>
      </c>
      <c r="U2" t="s">
        <v>34</v>
      </c>
    </row>
    <row r="3" spans="1:21" x14ac:dyDescent="0.25">
      <c r="A3">
        <v>9116</v>
      </c>
      <c r="B3" t="s">
        <v>35</v>
      </c>
      <c r="C3" t="s">
        <v>36</v>
      </c>
      <c r="D3">
        <v>27</v>
      </c>
      <c r="E3" t="s">
        <v>37</v>
      </c>
      <c r="F3" t="s">
        <v>38</v>
      </c>
      <c r="G3" t="s">
        <v>39</v>
      </c>
      <c r="H3" t="s">
        <v>40</v>
      </c>
      <c r="I3" t="s">
        <v>41</v>
      </c>
      <c r="J3" s="2">
        <v>44915</v>
      </c>
      <c r="K3" t="s">
        <v>28</v>
      </c>
      <c r="L3" t="s">
        <v>42</v>
      </c>
      <c r="M3">
        <v>91091</v>
      </c>
      <c r="N3" t="s">
        <v>43</v>
      </c>
      <c r="O3">
        <v>1024</v>
      </c>
      <c r="P3" t="s">
        <v>44</v>
      </c>
      <c r="Q3">
        <v>19</v>
      </c>
      <c r="R3">
        <v>4</v>
      </c>
      <c r="S3" t="s">
        <v>45</v>
      </c>
      <c r="T3" t="s">
        <v>33</v>
      </c>
      <c r="U3" t="s">
        <v>34</v>
      </c>
    </row>
    <row r="4" spans="1:21" x14ac:dyDescent="0.25">
      <c r="A4">
        <v>5120</v>
      </c>
      <c r="B4" t="s">
        <v>46</v>
      </c>
      <c r="C4" t="s">
        <v>36</v>
      </c>
      <c r="D4">
        <v>34</v>
      </c>
      <c r="E4" t="s">
        <v>37</v>
      </c>
      <c r="F4" t="s">
        <v>47</v>
      </c>
      <c r="G4" t="s">
        <v>48</v>
      </c>
      <c r="H4" t="s">
        <v>49</v>
      </c>
      <c r="I4" t="s">
        <v>50</v>
      </c>
      <c r="J4" s="2">
        <v>44783</v>
      </c>
      <c r="K4" t="s">
        <v>28</v>
      </c>
      <c r="L4" t="s">
        <v>51</v>
      </c>
      <c r="M4">
        <v>57538</v>
      </c>
      <c r="N4" t="s">
        <v>52</v>
      </c>
      <c r="O4">
        <v>1674</v>
      </c>
      <c r="P4" t="s">
        <v>44</v>
      </c>
      <c r="Q4">
        <v>8</v>
      </c>
      <c r="R4">
        <v>1</v>
      </c>
      <c r="S4" t="s">
        <v>44</v>
      </c>
      <c r="T4" t="s">
        <v>53</v>
      </c>
      <c r="U4" t="s">
        <v>54</v>
      </c>
    </row>
    <row r="5" spans="1:21" x14ac:dyDescent="0.25">
      <c r="A5">
        <v>8071</v>
      </c>
      <c r="B5" t="s">
        <v>55</v>
      </c>
      <c r="C5" t="s">
        <v>22</v>
      </c>
      <c r="D5">
        <v>41</v>
      </c>
      <c r="E5" t="s">
        <v>56</v>
      </c>
      <c r="F5" t="s">
        <v>47</v>
      </c>
      <c r="G5" t="s">
        <v>25</v>
      </c>
      <c r="H5" t="s">
        <v>57</v>
      </c>
      <c r="I5" t="s">
        <v>58</v>
      </c>
      <c r="J5" s="2">
        <v>45538</v>
      </c>
      <c r="K5" t="s">
        <v>59</v>
      </c>
      <c r="L5" t="s">
        <v>29</v>
      </c>
      <c r="M5">
        <v>62993</v>
      </c>
      <c r="N5" t="s">
        <v>60</v>
      </c>
      <c r="O5">
        <v>2695</v>
      </c>
      <c r="P5" t="s">
        <v>61</v>
      </c>
      <c r="Q5">
        <v>0</v>
      </c>
      <c r="R5">
        <v>2</v>
      </c>
      <c r="S5" t="s">
        <v>44</v>
      </c>
      <c r="T5" t="s">
        <v>62</v>
      </c>
      <c r="U5" t="s">
        <v>44</v>
      </c>
    </row>
    <row r="6" spans="1:21" x14ac:dyDescent="0.25">
      <c r="A6">
        <v>9351</v>
      </c>
      <c r="B6" t="s">
        <v>63</v>
      </c>
      <c r="C6" t="s">
        <v>36</v>
      </c>
      <c r="D6">
        <v>56</v>
      </c>
      <c r="E6" t="s">
        <v>64</v>
      </c>
      <c r="F6" t="s">
        <v>24</v>
      </c>
      <c r="G6" t="s">
        <v>25</v>
      </c>
      <c r="H6" t="s">
        <v>49</v>
      </c>
      <c r="I6" t="s">
        <v>65</v>
      </c>
      <c r="J6" s="2">
        <v>43538</v>
      </c>
      <c r="K6" t="s">
        <v>59</v>
      </c>
      <c r="L6" t="s">
        <v>42</v>
      </c>
      <c r="M6">
        <v>45773</v>
      </c>
      <c r="N6" t="s">
        <v>60</v>
      </c>
      <c r="O6">
        <v>8776</v>
      </c>
      <c r="P6" t="s">
        <v>31</v>
      </c>
      <c r="Q6">
        <v>16</v>
      </c>
      <c r="R6">
        <v>4</v>
      </c>
      <c r="S6" t="s">
        <v>32</v>
      </c>
      <c r="T6" t="s">
        <v>62</v>
      </c>
      <c r="U6" t="s">
        <v>44</v>
      </c>
    </row>
    <row r="7" spans="1:21" x14ac:dyDescent="0.25">
      <c r="A7">
        <v>2873</v>
      </c>
      <c r="B7" t="s">
        <v>66</v>
      </c>
      <c r="C7" t="s">
        <v>22</v>
      </c>
      <c r="D7">
        <v>28</v>
      </c>
      <c r="E7" t="s">
        <v>37</v>
      </c>
      <c r="F7" t="s">
        <v>47</v>
      </c>
      <c r="G7" t="s">
        <v>67</v>
      </c>
      <c r="H7" t="s">
        <v>49</v>
      </c>
      <c r="I7" t="s">
        <v>68</v>
      </c>
      <c r="J7" s="2">
        <v>42758</v>
      </c>
      <c r="K7" t="s">
        <v>28</v>
      </c>
      <c r="L7" t="s">
        <v>42</v>
      </c>
      <c r="M7">
        <v>96249</v>
      </c>
      <c r="N7" t="s">
        <v>30</v>
      </c>
      <c r="O7">
        <v>4826</v>
      </c>
      <c r="P7" t="s">
        <v>61</v>
      </c>
      <c r="Q7">
        <v>7</v>
      </c>
      <c r="R7">
        <v>3</v>
      </c>
      <c r="S7" t="s">
        <v>32</v>
      </c>
      <c r="T7" t="s">
        <v>69</v>
      </c>
      <c r="U7" t="s">
        <v>34</v>
      </c>
    </row>
    <row r="8" spans="1:21" x14ac:dyDescent="0.25">
      <c r="A8">
        <v>3540</v>
      </c>
      <c r="B8" t="s">
        <v>70</v>
      </c>
      <c r="C8" t="s">
        <v>22</v>
      </c>
      <c r="D8">
        <v>20</v>
      </c>
      <c r="E8" t="s">
        <v>23</v>
      </c>
      <c r="F8" t="s">
        <v>38</v>
      </c>
      <c r="G8" t="s">
        <v>48</v>
      </c>
      <c r="H8" t="s">
        <v>49</v>
      </c>
      <c r="I8" t="s">
        <v>71</v>
      </c>
      <c r="J8" s="2">
        <v>45521</v>
      </c>
      <c r="K8" t="s">
        <v>28</v>
      </c>
      <c r="L8" t="s">
        <v>51</v>
      </c>
      <c r="M8">
        <v>61596</v>
      </c>
      <c r="N8" t="s">
        <v>30</v>
      </c>
      <c r="O8">
        <v>8818</v>
      </c>
      <c r="P8" t="s">
        <v>61</v>
      </c>
      <c r="Q8">
        <v>4</v>
      </c>
      <c r="R8">
        <v>2</v>
      </c>
      <c r="S8" t="s">
        <v>32</v>
      </c>
      <c r="T8" t="s">
        <v>53</v>
      </c>
      <c r="U8" t="s">
        <v>44</v>
      </c>
    </row>
    <row r="9" spans="1:21" x14ac:dyDescent="0.25">
      <c r="A9">
        <v>3653</v>
      </c>
      <c r="B9" t="s">
        <v>72</v>
      </c>
      <c r="C9" t="s">
        <v>22</v>
      </c>
      <c r="D9">
        <v>58</v>
      </c>
      <c r="E9" t="s">
        <v>64</v>
      </c>
      <c r="F9" t="s">
        <v>73</v>
      </c>
      <c r="G9" t="s">
        <v>39</v>
      </c>
      <c r="H9" t="s">
        <v>74</v>
      </c>
      <c r="I9" t="s">
        <v>75</v>
      </c>
      <c r="J9" s="2">
        <v>41982</v>
      </c>
      <c r="K9" t="s">
        <v>28</v>
      </c>
      <c r="L9" t="s">
        <v>51</v>
      </c>
      <c r="M9">
        <v>97869</v>
      </c>
      <c r="N9" t="s">
        <v>60</v>
      </c>
      <c r="O9">
        <v>1966</v>
      </c>
      <c r="P9" t="s">
        <v>31</v>
      </c>
      <c r="Q9">
        <v>10</v>
      </c>
      <c r="R9">
        <v>1</v>
      </c>
      <c r="S9" t="s">
        <v>32</v>
      </c>
      <c r="T9" t="s">
        <v>33</v>
      </c>
      <c r="U9" t="s">
        <v>34</v>
      </c>
    </row>
    <row r="10" spans="1:21" x14ac:dyDescent="0.25">
      <c r="A10">
        <v>5587</v>
      </c>
      <c r="B10" t="s">
        <v>76</v>
      </c>
      <c r="C10" t="s">
        <v>22</v>
      </c>
      <c r="D10">
        <v>44</v>
      </c>
      <c r="E10" t="s">
        <v>56</v>
      </c>
      <c r="F10" t="s">
        <v>73</v>
      </c>
      <c r="G10" t="s">
        <v>48</v>
      </c>
      <c r="H10" t="s">
        <v>49</v>
      </c>
      <c r="I10" t="s">
        <v>77</v>
      </c>
      <c r="J10" s="2">
        <v>44375</v>
      </c>
      <c r="K10" t="s">
        <v>28</v>
      </c>
      <c r="L10" t="s">
        <v>29</v>
      </c>
      <c r="M10">
        <v>81235</v>
      </c>
      <c r="N10" t="s">
        <v>60</v>
      </c>
      <c r="O10">
        <v>6553</v>
      </c>
      <c r="P10" t="s">
        <v>44</v>
      </c>
      <c r="Q10">
        <v>16</v>
      </c>
      <c r="R10">
        <v>2</v>
      </c>
      <c r="S10" t="s">
        <v>44</v>
      </c>
      <c r="T10" t="s">
        <v>53</v>
      </c>
      <c r="U10" t="s">
        <v>34</v>
      </c>
    </row>
    <row r="11" spans="1:21" x14ac:dyDescent="0.25">
      <c r="A11">
        <v>9554</v>
      </c>
      <c r="B11" t="s">
        <v>78</v>
      </c>
      <c r="C11" t="s">
        <v>22</v>
      </c>
      <c r="D11">
        <v>29</v>
      </c>
      <c r="E11" t="s">
        <v>37</v>
      </c>
      <c r="F11" t="s">
        <v>38</v>
      </c>
      <c r="G11" t="s">
        <v>48</v>
      </c>
      <c r="H11" t="s">
        <v>57</v>
      </c>
      <c r="I11" t="s">
        <v>79</v>
      </c>
      <c r="J11" s="2">
        <v>43240</v>
      </c>
      <c r="K11" t="s">
        <v>28</v>
      </c>
      <c r="L11" t="s">
        <v>42</v>
      </c>
      <c r="M11">
        <v>87852</v>
      </c>
      <c r="N11" t="s">
        <v>60</v>
      </c>
      <c r="O11">
        <v>4980</v>
      </c>
      <c r="P11" t="s">
        <v>61</v>
      </c>
      <c r="Q11">
        <v>19</v>
      </c>
      <c r="R11">
        <v>3</v>
      </c>
      <c r="S11" t="s">
        <v>44</v>
      </c>
      <c r="T11" t="s">
        <v>62</v>
      </c>
      <c r="U11" t="s">
        <v>34</v>
      </c>
    </row>
    <row r="12" spans="1:21" x14ac:dyDescent="0.25">
      <c r="A12">
        <v>6213</v>
      </c>
      <c r="B12" t="s">
        <v>80</v>
      </c>
      <c r="C12" t="s">
        <v>36</v>
      </c>
      <c r="D12">
        <v>23</v>
      </c>
      <c r="E12" t="s">
        <v>23</v>
      </c>
      <c r="F12" t="s">
        <v>73</v>
      </c>
      <c r="G12" t="s">
        <v>25</v>
      </c>
      <c r="H12" t="s">
        <v>49</v>
      </c>
      <c r="I12" t="s">
        <v>81</v>
      </c>
      <c r="J12" s="2">
        <v>42779</v>
      </c>
      <c r="K12" t="s">
        <v>59</v>
      </c>
      <c r="L12" t="s">
        <v>42</v>
      </c>
      <c r="M12">
        <v>59359</v>
      </c>
      <c r="N12" t="s">
        <v>60</v>
      </c>
      <c r="O12">
        <v>9449</v>
      </c>
      <c r="P12" t="s">
        <v>61</v>
      </c>
      <c r="Q12">
        <v>20</v>
      </c>
      <c r="R12">
        <v>3</v>
      </c>
      <c r="S12" t="s">
        <v>44</v>
      </c>
      <c r="T12" t="s">
        <v>53</v>
      </c>
      <c r="U12" t="s">
        <v>44</v>
      </c>
    </row>
    <row r="13" spans="1:21" x14ac:dyDescent="0.25">
      <c r="A13">
        <v>9105</v>
      </c>
      <c r="B13" t="s">
        <v>82</v>
      </c>
      <c r="C13" t="s">
        <v>36</v>
      </c>
      <c r="D13">
        <v>30</v>
      </c>
      <c r="E13" t="s">
        <v>37</v>
      </c>
      <c r="F13" t="s">
        <v>24</v>
      </c>
      <c r="G13" t="s">
        <v>39</v>
      </c>
      <c r="H13" t="s">
        <v>26</v>
      </c>
      <c r="I13" t="s">
        <v>83</v>
      </c>
      <c r="J13" s="2">
        <v>45417</v>
      </c>
      <c r="K13" t="s">
        <v>59</v>
      </c>
      <c r="L13" t="s">
        <v>51</v>
      </c>
      <c r="M13">
        <v>81225</v>
      </c>
      <c r="N13" t="s">
        <v>52</v>
      </c>
      <c r="O13">
        <v>6202</v>
      </c>
      <c r="P13" t="s">
        <v>61</v>
      </c>
      <c r="Q13">
        <v>2</v>
      </c>
      <c r="R13">
        <v>2</v>
      </c>
      <c r="S13" t="s">
        <v>45</v>
      </c>
      <c r="T13" t="s">
        <v>84</v>
      </c>
      <c r="U13" t="s">
        <v>34</v>
      </c>
    </row>
    <row r="14" spans="1:21" x14ac:dyDescent="0.25">
      <c r="A14">
        <v>9508</v>
      </c>
      <c r="B14" t="s">
        <v>85</v>
      </c>
      <c r="C14" t="s">
        <v>22</v>
      </c>
      <c r="D14">
        <v>49</v>
      </c>
      <c r="E14" t="s">
        <v>86</v>
      </c>
      <c r="F14" t="s">
        <v>38</v>
      </c>
      <c r="G14" t="s">
        <v>25</v>
      </c>
      <c r="H14" t="s">
        <v>26</v>
      </c>
      <c r="I14" t="s">
        <v>87</v>
      </c>
      <c r="J14" s="2">
        <v>44670</v>
      </c>
      <c r="K14" t="s">
        <v>59</v>
      </c>
      <c r="L14" t="s">
        <v>29</v>
      </c>
      <c r="M14">
        <v>32788</v>
      </c>
      <c r="N14" t="s">
        <v>52</v>
      </c>
      <c r="O14">
        <v>4396</v>
      </c>
      <c r="P14" t="s">
        <v>31</v>
      </c>
      <c r="Q14">
        <v>13</v>
      </c>
      <c r="R14">
        <v>5</v>
      </c>
      <c r="S14" t="s">
        <v>44</v>
      </c>
      <c r="T14" t="s">
        <v>69</v>
      </c>
      <c r="U14" t="s">
        <v>54</v>
      </c>
    </row>
    <row r="15" spans="1:21" x14ac:dyDescent="0.25">
      <c r="A15">
        <v>2436</v>
      </c>
      <c r="B15" t="s">
        <v>88</v>
      </c>
      <c r="C15" t="s">
        <v>36</v>
      </c>
      <c r="D15">
        <v>60</v>
      </c>
      <c r="E15" t="s">
        <v>64</v>
      </c>
      <c r="F15" t="s">
        <v>89</v>
      </c>
      <c r="G15" t="s">
        <v>25</v>
      </c>
      <c r="H15" t="s">
        <v>57</v>
      </c>
      <c r="I15" t="s">
        <v>90</v>
      </c>
      <c r="J15" s="2">
        <v>42324</v>
      </c>
      <c r="K15" t="s">
        <v>59</v>
      </c>
      <c r="L15" t="s">
        <v>51</v>
      </c>
      <c r="M15">
        <v>70452</v>
      </c>
      <c r="N15" t="s">
        <v>52</v>
      </c>
      <c r="O15">
        <v>9911</v>
      </c>
      <c r="P15" t="s">
        <v>44</v>
      </c>
      <c r="Q15">
        <v>2</v>
      </c>
      <c r="R15">
        <v>1</v>
      </c>
      <c r="S15" t="s">
        <v>44</v>
      </c>
      <c r="T15" t="s">
        <v>69</v>
      </c>
      <c r="U15" t="s">
        <v>34</v>
      </c>
    </row>
    <row r="16" spans="1:21" x14ac:dyDescent="0.25">
      <c r="A16">
        <v>4441</v>
      </c>
      <c r="B16" t="s">
        <v>91</v>
      </c>
      <c r="C16" t="s">
        <v>36</v>
      </c>
      <c r="D16">
        <v>46</v>
      </c>
      <c r="E16" t="s">
        <v>86</v>
      </c>
      <c r="F16" t="s">
        <v>38</v>
      </c>
      <c r="G16" t="s">
        <v>67</v>
      </c>
      <c r="H16" t="s">
        <v>26</v>
      </c>
      <c r="I16" t="s">
        <v>92</v>
      </c>
      <c r="J16" s="2">
        <v>45178</v>
      </c>
      <c r="K16" t="s">
        <v>28</v>
      </c>
      <c r="L16" t="s">
        <v>42</v>
      </c>
      <c r="M16">
        <v>33045</v>
      </c>
      <c r="N16" t="s">
        <v>43</v>
      </c>
      <c r="O16">
        <v>1456</v>
      </c>
      <c r="P16" t="s">
        <v>44</v>
      </c>
      <c r="Q16">
        <v>16</v>
      </c>
      <c r="R16">
        <v>3</v>
      </c>
      <c r="S16" t="s">
        <v>45</v>
      </c>
      <c r="T16" t="s">
        <v>69</v>
      </c>
      <c r="U16" t="s">
        <v>44</v>
      </c>
    </row>
    <row r="17" spans="1:21" x14ac:dyDescent="0.25">
      <c r="A17">
        <v>5827</v>
      </c>
      <c r="B17" t="s">
        <v>93</v>
      </c>
      <c r="C17" t="s">
        <v>36</v>
      </c>
      <c r="D17">
        <v>57</v>
      </c>
      <c r="E17" t="s">
        <v>64</v>
      </c>
      <c r="F17" t="s">
        <v>47</v>
      </c>
      <c r="G17" t="s">
        <v>67</v>
      </c>
      <c r="H17" t="s">
        <v>40</v>
      </c>
      <c r="I17" t="s">
        <v>94</v>
      </c>
      <c r="J17" s="2">
        <v>43081</v>
      </c>
      <c r="K17" t="s">
        <v>95</v>
      </c>
      <c r="L17" t="s">
        <v>51</v>
      </c>
      <c r="M17">
        <v>96429</v>
      </c>
      <c r="N17" t="s">
        <v>30</v>
      </c>
      <c r="O17">
        <v>4740</v>
      </c>
      <c r="P17" t="s">
        <v>44</v>
      </c>
      <c r="Q17">
        <v>8</v>
      </c>
      <c r="R17">
        <v>1</v>
      </c>
      <c r="S17" t="s">
        <v>45</v>
      </c>
      <c r="T17" t="s">
        <v>62</v>
      </c>
      <c r="U17" t="s">
        <v>44</v>
      </c>
    </row>
    <row r="18" spans="1:21" x14ac:dyDescent="0.25">
      <c r="A18">
        <v>5184</v>
      </c>
      <c r="B18" t="s">
        <v>96</v>
      </c>
      <c r="C18" t="s">
        <v>22</v>
      </c>
      <c r="D18">
        <v>24</v>
      </c>
      <c r="E18" t="s">
        <v>23</v>
      </c>
      <c r="F18" t="s">
        <v>38</v>
      </c>
      <c r="G18" t="s">
        <v>48</v>
      </c>
      <c r="H18" t="s">
        <v>49</v>
      </c>
      <c r="I18" t="s">
        <v>97</v>
      </c>
      <c r="J18" s="2">
        <v>42804</v>
      </c>
      <c r="K18" t="s">
        <v>95</v>
      </c>
      <c r="L18" t="s">
        <v>51</v>
      </c>
      <c r="M18">
        <v>33183</v>
      </c>
      <c r="N18" t="s">
        <v>60</v>
      </c>
      <c r="O18">
        <v>8114</v>
      </c>
      <c r="P18" t="s">
        <v>44</v>
      </c>
      <c r="Q18">
        <v>4</v>
      </c>
      <c r="R18">
        <v>2</v>
      </c>
      <c r="S18" t="s">
        <v>45</v>
      </c>
      <c r="T18" t="s">
        <v>84</v>
      </c>
      <c r="U18" t="s">
        <v>54</v>
      </c>
    </row>
    <row r="19" spans="1:21" x14ac:dyDescent="0.25">
      <c r="A19">
        <v>5874</v>
      </c>
      <c r="B19" t="s">
        <v>55</v>
      </c>
      <c r="C19" t="s">
        <v>22</v>
      </c>
      <c r="D19">
        <v>35</v>
      </c>
      <c r="E19" t="s">
        <v>37</v>
      </c>
      <c r="F19" t="s">
        <v>89</v>
      </c>
      <c r="G19" t="s">
        <v>67</v>
      </c>
      <c r="H19" t="s">
        <v>26</v>
      </c>
      <c r="I19" t="s">
        <v>98</v>
      </c>
      <c r="J19" s="2">
        <v>43528</v>
      </c>
      <c r="K19" t="s">
        <v>95</v>
      </c>
      <c r="L19" t="s">
        <v>29</v>
      </c>
      <c r="M19">
        <v>75065</v>
      </c>
      <c r="N19" t="s">
        <v>30</v>
      </c>
      <c r="O19">
        <v>7123</v>
      </c>
      <c r="P19" t="s">
        <v>44</v>
      </c>
      <c r="Q19">
        <v>20</v>
      </c>
      <c r="R19">
        <v>2</v>
      </c>
      <c r="S19" t="s">
        <v>44</v>
      </c>
      <c r="T19" t="s">
        <v>33</v>
      </c>
      <c r="U19" t="s">
        <v>54</v>
      </c>
    </row>
    <row r="20" spans="1:21" x14ac:dyDescent="0.25">
      <c r="A20">
        <v>9834</v>
      </c>
      <c r="B20" t="s">
        <v>99</v>
      </c>
      <c r="C20" t="s">
        <v>36</v>
      </c>
      <c r="D20">
        <v>41</v>
      </c>
      <c r="E20" t="s">
        <v>56</v>
      </c>
      <c r="F20" t="s">
        <v>38</v>
      </c>
      <c r="G20" t="s">
        <v>39</v>
      </c>
      <c r="H20" t="s">
        <v>74</v>
      </c>
      <c r="I20" t="s">
        <v>100</v>
      </c>
      <c r="J20" s="2">
        <v>44885</v>
      </c>
      <c r="K20" t="s">
        <v>28</v>
      </c>
      <c r="L20" t="s">
        <v>51</v>
      </c>
      <c r="M20">
        <v>32877</v>
      </c>
      <c r="N20" t="s">
        <v>30</v>
      </c>
      <c r="O20">
        <v>6432</v>
      </c>
      <c r="P20" t="s">
        <v>31</v>
      </c>
      <c r="Q20">
        <v>11</v>
      </c>
      <c r="R20">
        <v>1</v>
      </c>
      <c r="S20" t="s">
        <v>44</v>
      </c>
      <c r="T20" t="s">
        <v>33</v>
      </c>
      <c r="U20" t="s">
        <v>44</v>
      </c>
    </row>
    <row r="21" spans="1:21" x14ac:dyDescent="0.25">
      <c r="A21">
        <v>5096</v>
      </c>
      <c r="B21" t="s">
        <v>101</v>
      </c>
      <c r="C21" t="s">
        <v>36</v>
      </c>
      <c r="D21">
        <v>36</v>
      </c>
      <c r="E21" t="s">
        <v>56</v>
      </c>
      <c r="F21" t="s">
        <v>38</v>
      </c>
      <c r="G21" t="s">
        <v>102</v>
      </c>
      <c r="H21" t="s">
        <v>57</v>
      </c>
      <c r="I21" t="s">
        <v>103</v>
      </c>
      <c r="J21" s="2">
        <v>44257</v>
      </c>
      <c r="K21" t="s">
        <v>28</v>
      </c>
      <c r="L21" t="s">
        <v>42</v>
      </c>
      <c r="M21">
        <v>46811</v>
      </c>
      <c r="N21" t="s">
        <v>52</v>
      </c>
      <c r="O21">
        <v>1567</v>
      </c>
      <c r="P21" t="s">
        <v>44</v>
      </c>
      <c r="Q21">
        <v>7</v>
      </c>
      <c r="R21">
        <v>3</v>
      </c>
      <c r="S21" t="s">
        <v>45</v>
      </c>
      <c r="T21" t="s">
        <v>33</v>
      </c>
      <c r="U21" t="s">
        <v>54</v>
      </c>
    </row>
    <row r="22" spans="1:21" x14ac:dyDescent="0.25">
      <c r="A22">
        <v>2263</v>
      </c>
      <c r="B22" t="s">
        <v>104</v>
      </c>
      <c r="C22" t="s">
        <v>36</v>
      </c>
      <c r="D22">
        <v>31</v>
      </c>
      <c r="E22" t="s">
        <v>37</v>
      </c>
      <c r="F22" t="s">
        <v>73</v>
      </c>
      <c r="G22" t="s">
        <v>48</v>
      </c>
      <c r="H22" t="s">
        <v>40</v>
      </c>
      <c r="I22" t="s">
        <v>105</v>
      </c>
      <c r="J22" s="2">
        <v>44409</v>
      </c>
      <c r="K22" t="s">
        <v>59</v>
      </c>
      <c r="L22" t="s">
        <v>42</v>
      </c>
      <c r="M22">
        <v>87538</v>
      </c>
      <c r="N22" t="s">
        <v>30</v>
      </c>
      <c r="O22">
        <v>3588</v>
      </c>
      <c r="P22" t="s">
        <v>61</v>
      </c>
      <c r="Q22">
        <v>11</v>
      </c>
      <c r="R22">
        <v>5</v>
      </c>
      <c r="S22" t="s">
        <v>45</v>
      </c>
      <c r="T22" t="s">
        <v>62</v>
      </c>
      <c r="U22" t="s">
        <v>44</v>
      </c>
    </row>
    <row r="23" spans="1:21" x14ac:dyDescent="0.25">
      <c r="A23">
        <v>6505</v>
      </c>
      <c r="B23" t="s">
        <v>106</v>
      </c>
      <c r="C23" t="s">
        <v>22</v>
      </c>
      <c r="D23">
        <v>28</v>
      </c>
      <c r="E23" t="s">
        <v>37</v>
      </c>
      <c r="F23" t="s">
        <v>24</v>
      </c>
      <c r="G23" t="s">
        <v>39</v>
      </c>
      <c r="H23" t="s">
        <v>74</v>
      </c>
      <c r="I23" t="s">
        <v>107</v>
      </c>
      <c r="J23" s="2">
        <v>42230</v>
      </c>
      <c r="K23" t="s">
        <v>28</v>
      </c>
      <c r="L23" t="s">
        <v>42</v>
      </c>
      <c r="M23">
        <v>73002</v>
      </c>
      <c r="N23" t="s">
        <v>30</v>
      </c>
      <c r="O23">
        <v>6296</v>
      </c>
      <c r="P23" t="s">
        <v>31</v>
      </c>
      <c r="Q23">
        <v>2</v>
      </c>
      <c r="R23">
        <v>5</v>
      </c>
      <c r="S23" t="s">
        <v>45</v>
      </c>
      <c r="T23" t="s">
        <v>53</v>
      </c>
      <c r="U23" t="s">
        <v>34</v>
      </c>
    </row>
    <row r="24" spans="1:21" x14ac:dyDescent="0.25">
      <c r="A24">
        <v>8626</v>
      </c>
      <c r="B24" t="s">
        <v>108</v>
      </c>
      <c r="C24" t="s">
        <v>36</v>
      </c>
      <c r="D24">
        <v>37</v>
      </c>
      <c r="E24" t="s">
        <v>56</v>
      </c>
      <c r="F24" t="s">
        <v>73</v>
      </c>
      <c r="G24" t="s">
        <v>39</v>
      </c>
      <c r="H24" t="s">
        <v>57</v>
      </c>
      <c r="I24" t="s">
        <v>109</v>
      </c>
      <c r="J24" s="2">
        <v>42298</v>
      </c>
      <c r="K24" t="s">
        <v>95</v>
      </c>
      <c r="L24" t="s">
        <v>51</v>
      </c>
      <c r="M24">
        <v>41653</v>
      </c>
      <c r="N24" t="s">
        <v>52</v>
      </c>
      <c r="O24">
        <v>9236</v>
      </c>
      <c r="P24" t="s">
        <v>44</v>
      </c>
      <c r="Q24">
        <v>13</v>
      </c>
      <c r="R24">
        <v>1</v>
      </c>
      <c r="S24" t="s">
        <v>45</v>
      </c>
      <c r="T24" t="s">
        <v>33</v>
      </c>
      <c r="U24" t="s">
        <v>44</v>
      </c>
    </row>
    <row r="25" spans="1:21" x14ac:dyDescent="0.25">
      <c r="A25">
        <v>5979</v>
      </c>
      <c r="B25" t="s">
        <v>110</v>
      </c>
      <c r="C25" t="s">
        <v>22</v>
      </c>
      <c r="D25">
        <v>31</v>
      </c>
      <c r="E25" t="s">
        <v>37</v>
      </c>
      <c r="F25" t="s">
        <v>24</v>
      </c>
      <c r="G25" t="s">
        <v>25</v>
      </c>
      <c r="H25" t="s">
        <v>49</v>
      </c>
      <c r="I25" t="s">
        <v>111</v>
      </c>
      <c r="J25" s="2">
        <v>42077</v>
      </c>
      <c r="K25" t="s">
        <v>59</v>
      </c>
      <c r="L25" t="s">
        <v>42</v>
      </c>
      <c r="M25">
        <v>67582</v>
      </c>
      <c r="N25" t="s">
        <v>60</v>
      </c>
      <c r="O25">
        <v>1375</v>
      </c>
      <c r="P25" t="s">
        <v>31</v>
      </c>
      <c r="Q25">
        <v>20</v>
      </c>
      <c r="R25">
        <v>3</v>
      </c>
      <c r="S25" t="s">
        <v>45</v>
      </c>
      <c r="T25" t="s">
        <v>53</v>
      </c>
      <c r="U25" t="s">
        <v>44</v>
      </c>
    </row>
    <row r="26" spans="1:21" x14ac:dyDescent="0.25">
      <c r="A26">
        <v>3104</v>
      </c>
      <c r="B26" t="s">
        <v>112</v>
      </c>
      <c r="C26" t="s">
        <v>22</v>
      </c>
      <c r="D26">
        <v>23</v>
      </c>
      <c r="E26" t="s">
        <v>23</v>
      </c>
      <c r="F26" t="s">
        <v>73</v>
      </c>
      <c r="G26" t="s">
        <v>39</v>
      </c>
      <c r="H26" t="s">
        <v>40</v>
      </c>
      <c r="I26" t="s">
        <v>113</v>
      </c>
      <c r="J26" s="2">
        <v>45434</v>
      </c>
      <c r="K26" t="s">
        <v>95</v>
      </c>
      <c r="L26" t="s">
        <v>42</v>
      </c>
      <c r="M26">
        <v>37351</v>
      </c>
      <c r="N26" t="s">
        <v>52</v>
      </c>
      <c r="O26">
        <v>7858</v>
      </c>
      <c r="P26" t="s">
        <v>61</v>
      </c>
      <c r="Q26">
        <v>18</v>
      </c>
      <c r="R26">
        <v>2</v>
      </c>
      <c r="S26" t="s">
        <v>32</v>
      </c>
      <c r="T26" t="s">
        <v>53</v>
      </c>
      <c r="U26" t="s">
        <v>54</v>
      </c>
    </row>
    <row r="27" spans="1:21" x14ac:dyDescent="0.25">
      <c r="A27">
        <v>8967</v>
      </c>
      <c r="B27" t="s">
        <v>114</v>
      </c>
      <c r="C27" t="s">
        <v>22</v>
      </c>
      <c r="D27">
        <v>48</v>
      </c>
      <c r="E27" t="s">
        <v>86</v>
      </c>
      <c r="F27" t="s">
        <v>89</v>
      </c>
      <c r="G27" t="s">
        <v>48</v>
      </c>
      <c r="H27" t="s">
        <v>26</v>
      </c>
      <c r="I27" t="s">
        <v>115</v>
      </c>
      <c r="J27" s="2">
        <v>42813</v>
      </c>
      <c r="K27" t="s">
        <v>28</v>
      </c>
      <c r="L27" t="s">
        <v>42</v>
      </c>
      <c r="M27">
        <v>36721</v>
      </c>
      <c r="N27" t="s">
        <v>43</v>
      </c>
      <c r="O27">
        <v>8820</v>
      </c>
      <c r="P27" t="s">
        <v>61</v>
      </c>
      <c r="Q27">
        <v>0</v>
      </c>
      <c r="R27">
        <v>2</v>
      </c>
      <c r="S27" t="s">
        <v>45</v>
      </c>
      <c r="T27" t="s">
        <v>53</v>
      </c>
      <c r="U27" t="s">
        <v>34</v>
      </c>
    </row>
    <row r="28" spans="1:21" x14ac:dyDescent="0.25">
      <c r="A28">
        <v>5087</v>
      </c>
      <c r="B28" t="s">
        <v>116</v>
      </c>
      <c r="C28" t="s">
        <v>36</v>
      </c>
      <c r="D28">
        <v>28</v>
      </c>
      <c r="E28" t="s">
        <v>37</v>
      </c>
      <c r="F28" t="s">
        <v>47</v>
      </c>
      <c r="G28" t="s">
        <v>102</v>
      </c>
      <c r="H28" t="s">
        <v>26</v>
      </c>
      <c r="I28" t="s">
        <v>117</v>
      </c>
      <c r="J28" s="2">
        <v>44454</v>
      </c>
      <c r="K28" t="s">
        <v>59</v>
      </c>
      <c r="L28" t="s">
        <v>51</v>
      </c>
      <c r="M28">
        <v>46326</v>
      </c>
      <c r="N28" t="s">
        <v>43</v>
      </c>
      <c r="O28">
        <v>9189</v>
      </c>
      <c r="P28" t="s">
        <v>61</v>
      </c>
      <c r="Q28">
        <v>8</v>
      </c>
      <c r="R28">
        <v>4</v>
      </c>
      <c r="S28" t="s">
        <v>32</v>
      </c>
      <c r="T28" t="s">
        <v>69</v>
      </c>
      <c r="U28" t="s">
        <v>54</v>
      </c>
    </row>
    <row r="29" spans="1:21" x14ac:dyDescent="0.25">
      <c r="A29">
        <v>3358</v>
      </c>
      <c r="B29" t="s">
        <v>118</v>
      </c>
      <c r="C29" t="s">
        <v>36</v>
      </c>
      <c r="D29">
        <v>30</v>
      </c>
      <c r="E29" t="s">
        <v>37</v>
      </c>
      <c r="F29" t="s">
        <v>38</v>
      </c>
      <c r="G29" t="s">
        <v>67</v>
      </c>
      <c r="H29" t="s">
        <v>40</v>
      </c>
      <c r="I29" t="s">
        <v>119</v>
      </c>
      <c r="J29" s="2">
        <v>44690</v>
      </c>
      <c r="K29" t="s">
        <v>28</v>
      </c>
      <c r="L29" t="s">
        <v>29</v>
      </c>
      <c r="M29">
        <v>59007</v>
      </c>
      <c r="N29" t="s">
        <v>30</v>
      </c>
      <c r="O29">
        <v>3380</v>
      </c>
      <c r="P29" t="s">
        <v>31</v>
      </c>
      <c r="Q29">
        <v>17</v>
      </c>
      <c r="R29">
        <v>3</v>
      </c>
      <c r="S29" t="s">
        <v>44</v>
      </c>
      <c r="T29" t="s">
        <v>84</v>
      </c>
      <c r="U29" t="s">
        <v>34</v>
      </c>
    </row>
    <row r="30" spans="1:21" x14ac:dyDescent="0.25">
      <c r="A30">
        <v>8256</v>
      </c>
      <c r="B30" t="s">
        <v>120</v>
      </c>
      <c r="C30" t="s">
        <v>36</v>
      </c>
      <c r="D30">
        <v>46</v>
      </c>
      <c r="E30" t="s">
        <v>86</v>
      </c>
      <c r="F30" t="s">
        <v>73</v>
      </c>
      <c r="G30" t="s">
        <v>25</v>
      </c>
      <c r="H30" t="s">
        <v>57</v>
      </c>
      <c r="I30" t="s">
        <v>121</v>
      </c>
      <c r="J30" s="2">
        <v>42908</v>
      </c>
      <c r="K30" t="s">
        <v>28</v>
      </c>
      <c r="L30" t="s">
        <v>42</v>
      </c>
      <c r="M30">
        <v>52020</v>
      </c>
      <c r="N30" t="s">
        <v>43</v>
      </c>
      <c r="O30">
        <v>9585</v>
      </c>
      <c r="P30" t="s">
        <v>61</v>
      </c>
      <c r="Q30">
        <v>0</v>
      </c>
      <c r="R30">
        <v>4</v>
      </c>
      <c r="S30" t="s">
        <v>45</v>
      </c>
      <c r="T30" t="s">
        <v>84</v>
      </c>
      <c r="U30" t="s">
        <v>44</v>
      </c>
    </row>
    <row r="31" spans="1:21" x14ac:dyDescent="0.25">
      <c r="A31">
        <v>5763</v>
      </c>
      <c r="B31" t="s">
        <v>122</v>
      </c>
      <c r="C31" t="s">
        <v>36</v>
      </c>
      <c r="D31">
        <v>44</v>
      </c>
      <c r="E31" t="s">
        <v>56</v>
      </c>
      <c r="F31" t="s">
        <v>38</v>
      </c>
      <c r="G31" t="s">
        <v>48</v>
      </c>
      <c r="H31" t="s">
        <v>40</v>
      </c>
      <c r="I31" t="s">
        <v>123</v>
      </c>
      <c r="J31" s="2">
        <v>44163</v>
      </c>
      <c r="K31" t="s">
        <v>95</v>
      </c>
      <c r="L31" t="s">
        <v>42</v>
      </c>
      <c r="M31">
        <v>98961</v>
      </c>
      <c r="N31" t="s">
        <v>52</v>
      </c>
      <c r="O31">
        <v>2688</v>
      </c>
      <c r="P31" t="s">
        <v>31</v>
      </c>
      <c r="Q31">
        <v>2</v>
      </c>
      <c r="R31">
        <v>5</v>
      </c>
      <c r="S31" t="s">
        <v>45</v>
      </c>
      <c r="T31" t="s">
        <v>84</v>
      </c>
      <c r="U31" t="s">
        <v>34</v>
      </c>
    </row>
    <row r="32" spans="1:21" x14ac:dyDescent="0.25">
      <c r="A32">
        <v>6838</v>
      </c>
      <c r="B32" t="s">
        <v>124</v>
      </c>
      <c r="C32" t="s">
        <v>36</v>
      </c>
      <c r="D32">
        <v>45</v>
      </c>
      <c r="E32" t="s">
        <v>56</v>
      </c>
      <c r="F32" t="s">
        <v>47</v>
      </c>
      <c r="G32" t="s">
        <v>67</v>
      </c>
      <c r="H32" t="s">
        <v>49</v>
      </c>
      <c r="I32" t="s">
        <v>125</v>
      </c>
      <c r="J32" s="2">
        <v>42246</v>
      </c>
      <c r="K32" t="s">
        <v>95</v>
      </c>
      <c r="L32" t="s">
        <v>42</v>
      </c>
      <c r="M32">
        <v>81943</v>
      </c>
      <c r="N32" t="s">
        <v>30</v>
      </c>
      <c r="O32">
        <v>2255</v>
      </c>
      <c r="P32" t="s">
        <v>31</v>
      </c>
      <c r="Q32">
        <v>18</v>
      </c>
      <c r="R32">
        <v>2</v>
      </c>
      <c r="S32" t="s">
        <v>44</v>
      </c>
      <c r="T32" t="s">
        <v>62</v>
      </c>
      <c r="U32" t="s">
        <v>34</v>
      </c>
    </row>
    <row r="33" spans="1:21" x14ac:dyDescent="0.25">
      <c r="A33">
        <v>9544</v>
      </c>
      <c r="B33" t="s">
        <v>126</v>
      </c>
      <c r="C33" t="s">
        <v>36</v>
      </c>
      <c r="D33">
        <v>52</v>
      </c>
      <c r="E33" t="s">
        <v>86</v>
      </c>
      <c r="F33" t="s">
        <v>89</v>
      </c>
      <c r="G33" t="s">
        <v>48</v>
      </c>
      <c r="H33" t="s">
        <v>40</v>
      </c>
      <c r="I33" t="s">
        <v>127</v>
      </c>
      <c r="J33" s="2">
        <v>43400</v>
      </c>
      <c r="K33" t="s">
        <v>95</v>
      </c>
      <c r="L33" t="s">
        <v>42</v>
      </c>
      <c r="M33">
        <v>47627</v>
      </c>
      <c r="N33" t="s">
        <v>30</v>
      </c>
      <c r="O33">
        <v>1221</v>
      </c>
      <c r="P33" t="s">
        <v>44</v>
      </c>
      <c r="Q33">
        <v>4</v>
      </c>
      <c r="R33">
        <v>3</v>
      </c>
      <c r="S33" t="s">
        <v>44</v>
      </c>
      <c r="T33" t="s">
        <v>53</v>
      </c>
      <c r="U33" t="s">
        <v>44</v>
      </c>
    </row>
    <row r="34" spans="1:21" x14ac:dyDescent="0.25">
      <c r="A34">
        <v>8012</v>
      </c>
      <c r="B34" t="s">
        <v>128</v>
      </c>
      <c r="C34" t="s">
        <v>22</v>
      </c>
      <c r="D34">
        <v>52</v>
      </c>
      <c r="E34" t="s">
        <v>86</v>
      </c>
      <c r="F34" t="s">
        <v>24</v>
      </c>
      <c r="G34" t="s">
        <v>25</v>
      </c>
      <c r="H34" t="s">
        <v>74</v>
      </c>
      <c r="I34" t="s">
        <v>129</v>
      </c>
      <c r="J34" s="2">
        <v>43338</v>
      </c>
      <c r="K34" t="s">
        <v>95</v>
      </c>
      <c r="L34" t="s">
        <v>42</v>
      </c>
      <c r="M34">
        <v>56162</v>
      </c>
      <c r="N34" t="s">
        <v>52</v>
      </c>
      <c r="O34">
        <v>6560</v>
      </c>
      <c r="P34" t="s">
        <v>61</v>
      </c>
      <c r="Q34">
        <v>9</v>
      </c>
      <c r="R34">
        <v>4</v>
      </c>
      <c r="S34" t="s">
        <v>45</v>
      </c>
      <c r="T34" t="s">
        <v>69</v>
      </c>
      <c r="U34" t="s">
        <v>44</v>
      </c>
    </row>
    <row r="35" spans="1:21" x14ac:dyDescent="0.25">
      <c r="A35">
        <v>9374</v>
      </c>
      <c r="B35" t="s">
        <v>130</v>
      </c>
      <c r="C35" t="s">
        <v>22</v>
      </c>
      <c r="D35">
        <v>42</v>
      </c>
      <c r="E35" t="s">
        <v>56</v>
      </c>
      <c r="F35" t="s">
        <v>38</v>
      </c>
      <c r="G35" t="s">
        <v>48</v>
      </c>
      <c r="H35" t="s">
        <v>49</v>
      </c>
      <c r="I35" t="s">
        <v>131</v>
      </c>
      <c r="J35" s="2">
        <v>45131</v>
      </c>
      <c r="K35" t="s">
        <v>59</v>
      </c>
      <c r="L35" t="s">
        <v>51</v>
      </c>
      <c r="M35">
        <v>95734</v>
      </c>
      <c r="N35" t="s">
        <v>30</v>
      </c>
      <c r="O35">
        <v>4854</v>
      </c>
      <c r="P35" t="s">
        <v>31</v>
      </c>
      <c r="Q35">
        <v>13</v>
      </c>
      <c r="R35">
        <v>2</v>
      </c>
      <c r="S35" t="s">
        <v>32</v>
      </c>
      <c r="T35" t="s">
        <v>33</v>
      </c>
      <c r="U35" t="s">
        <v>34</v>
      </c>
    </row>
    <row r="36" spans="1:21" x14ac:dyDescent="0.25">
      <c r="A36">
        <v>3487</v>
      </c>
      <c r="B36" t="s">
        <v>132</v>
      </c>
      <c r="C36" t="s">
        <v>36</v>
      </c>
      <c r="D36">
        <v>58</v>
      </c>
      <c r="E36" t="s">
        <v>64</v>
      </c>
      <c r="F36" t="s">
        <v>38</v>
      </c>
      <c r="G36" t="s">
        <v>39</v>
      </c>
      <c r="H36" t="s">
        <v>57</v>
      </c>
      <c r="I36" t="s">
        <v>133</v>
      </c>
      <c r="J36" s="2">
        <v>43290</v>
      </c>
      <c r="K36" t="s">
        <v>59</v>
      </c>
      <c r="L36" t="s">
        <v>51</v>
      </c>
      <c r="M36">
        <v>74789</v>
      </c>
      <c r="N36" t="s">
        <v>30</v>
      </c>
      <c r="O36">
        <v>8101</v>
      </c>
      <c r="P36" t="s">
        <v>61</v>
      </c>
      <c r="Q36">
        <v>14</v>
      </c>
      <c r="R36">
        <v>5</v>
      </c>
      <c r="S36" t="s">
        <v>45</v>
      </c>
      <c r="T36" t="s">
        <v>62</v>
      </c>
      <c r="U36" t="s">
        <v>44</v>
      </c>
    </row>
    <row r="37" spans="1:21" x14ac:dyDescent="0.25">
      <c r="A37">
        <v>8445</v>
      </c>
      <c r="B37" t="s">
        <v>134</v>
      </c>
      <c r="C37" t="s">
        <v>22</v>
      </c>
      <c r="D37">
        <v>24</v>
      </c>
      <c r="E37" t="s">
        <v>23</v>
      </c>
      <c r="F37" t="s">
        <v>89</v>
      </c>
      <c r="G37" t="s">
        <v>25</v>
      </c>
      <c r="H37" t="s">
        <v>57</v>
      </c>
      <c r="I37" t="s">
        <v>135</v>
      </c>
      <c r="J37" s="2">
        <v>42725</v>
      </c>
      <c r="K37" t="s">
        <v>28</v>
      </c>
      <c r="L37" t="s">
        <v>51</v>
      </c>
      <c r="M37">
        <v>30137</v>
      </c>
      <c r="N37" t="s">
        <v>43</v>
      </c>
      <c r="O37">
        <v>4031</v>
      </c>
      <c r="P37" t="s">
        <v>44</v>
      </c>
      <c r="Q37">
        <v>5</v>
      </c>
      <c r="R37">
        <v>3</v>
      </c>
      <c r="S37" t="s">
        <v>44</v>
      </c>
      <c r="T37" t="s">
        <v>53</v>
      </c>
      <c r="U37" t="s">
        <v>34</v>
      </c>
    </row>
    <row r="38" spans="1:21" x14ac:dyDescent="0.25">
      <c r="A38">
        <v>1550</v>
      </c>
      <c r="B38" t="s">
        <v>136</v>
      </c>
      <c r="C38" t="s">
        <v>36</v>
      </c>
      <c r="D38">
        <v>21</v>
      </c>
      <c r="E38" t="s">
        <v>23</v>
      </c>
      <c r="F38" t="s">
        <v>38</v>
      </c>
      <c r="G38" t="s">
        <v>25</v>
      </c>
      <c r="H38" t="s">
        <v>26</v>
      </c>
      <c r="I38" t="s">
        <v>137</v>
      </c>
      <c r="J38" s="2">
        <v>43643</v>
      </c>
      <c r="K38" t="s">
        <v>28</v>
      </c>
      <c r="L38" t="s">
        <v>51</v>
      </c>
      <c r="M38">
        <v>95510</v>
      </c>
      <c r="N38" t="s">
        <v>30</v>
      </c>
      <c r="O38">
        <v>6811</v>
      </c>
      <c r="P38" t="s">
        <v>31</v>
      </c>
      <c r="Q38">
        <v>18</v>
      </c>
      <c r="R38">
        <v>4</v>
      </c>
      <c r="S38" t="s">
        <v>45</v>
      </c>
      <c r="T38" t="s">
        <v>84</v>
      </c>
      <c r="U38" t="s">
        <v>34</v>
      </c>
    </row>
    <row r="39" spans="1:21" x14ac:dyDescent="0.25">
      <c r="A39">
        <v>9968</v>
      </c>
      <c r="B39" t="s">
        <v>138</v>
      </c>
      <c r="C39" t="s">
        <v>36</v>
      </c>
      <c r="D39">
        <v>58</v>
      </c>
      <c r="E39" t="s">
        <v>64</v>
      </c>
      <c r="F39" t="s">
        <v>38</v>
      </c>
      <c r="G39" t="s">
        <v>67</v>
      </c>
      <c r="H39" t="s">
        <v>26</v>
      </c>
      <c r="I39" t="s">
        <v>139</v>
      </c>
      <c r="J39" s="2">
        <v>44435</v>
      </c>
      <c r="K39" t="s">
        <v>59</v>
      </c>
      <c r="L39" t="s">
        <v>29</v>
      </c>
      <c r="M39">
        <v>80325</v>
      </c>
      <c r="N39" t="s">
        <v>43</v>
      </c>
      <c r="O39">
        <v>6230</v>
      </c>
      <c r="P39" t="s">
        <v>31</v>
      </c>
      <c r="Q39">
        <v>5</v>
      </c>
      <c r="R39">
        <v>4</v>
      </c>
      <c r="S39" t="s">
        <v>44</v>
      </c>
      <c r="T39" t="s">
        <v>62</v>
      </c>
      <c r="U39" t="s">
        <v>54</v>
      </c>
    </row>
    <row r="40" spans="1:21" x14ac:dyDescent="0.25">
      <c r="A40">
        <v>8029</v>
      </c>
      <c r="B40" t="s">
        <v>140</v>
      </c>
      <c r="C40" t="s">
        <v>22</v>
      </c>
      <c r="D40">
        <v>57</v>
      </c>
      <c r="E40" t="s">
        <v>64</v>
      </c>
      <c r="F40" t="s">
        <v>73</v>
      </c>
      <c r="G40" t="s">
        <v>102</v>
      </c>
      <c r="H40" t="s">
        <v>74</v>
      </c>
      <c r="I40" t="s">
        <v>141</v>
      </c>
      <c r="J40" s="2">
        <v>42883</v>
      </c>
      <c r="K40" t="s">
        <v>95</v>
      </c>
      <c r="L40" t="s">
        <v>42</v>
      </c>
      <c r="M40">
        <v>34109</v>
      </c>
      <c r="N40" t="s">
        <v>43</v>
      </c>
      <c r="O40">
        <v>9232</v>
      </c>
      <c r="P40" t="s">
        <v>31</v>
      </c>
      <c r="Q40">
        <v>13</v>
      </c>
      <c r="R40">
        <v>3</v>
      </c>
      <c r="S40" t="s">
        <v>32</v>
      </c>
      <c r="T40" t="s">
        <v>33</v>
      </c>
      <c r="U40" t="s">
        <v>34</v>
      </c>
    </row>
    <row r="41" spans="1:21" x14ac:dyDescent="0.25">
      <c r="A41">
        <v>8847</v>
      </c>
      <c r="B41" t="s">
        <v>142</v>
      </c>
      <c r="C41" t="s">
        <v>36</v>
      </c>
      <c r="D41">
        <v>41</v>
      </c>
      <c r="E41" t="s">
        <v>56</v>
      </c>
      <c r="F41" t="s">
        <v>73</v>
      </c>
      <c r="G41" t="s">
        <v>67</v>
      </c>
      <c r="H41" t="s">
        <v>26</v>
      </c>
      <c r="I41" t="s">
        <v>143</v>
      </c>
      <c r="J41" s="2">
        <v>44591</v>
      </c>
      <c r="K41" t="s">
        <v>95</v>
      </c>
      <c r="L41" t="s">
        <v>51</v>
      </c>
      <c r="M41">
        <v>73330</v>
      </c>
      <c r="N41" t="s">
        <v>30</v>
      </c>
      <c r="O41">
        <v>2276</v>
      </c>
      <c r="P41" t="s">
        <v>61</v>
      </c>
      <c r="Q41">
        <v>5</v>
      </c>
      <c r="R41">
        <v>1</v>
      </c>
      <c r="S41" t="s">
        <v>44</v>
      </c>
      <c r="T41" t="s">
        <v>53</v>
      </c>
      <c r="U41" t="s">
        <v>54</v>
      </c>
    </row>
    <row r="42" spans="1:21" x14ac:dyDescent="0.25">
      <c r="A42">
        <v>1955</v>
      </c>
      <c r="B42" t="s">
        <v>144</v>
      </c>
      <c r="C42" t="s">
        <v>22</v>
      </c>
      <c r="D42">
        <v>58</v>
      </c>
      <c r="E42" t="s">
        <v>64</v>
      </c>
      <c r="F42" t="s">
        <v>47</v>
      </c>
      <c r="G42" t="s">
        <v>48</v>
      </c>
      <c r="H42" t="s">
        <v>40</v>
      </c>
      <c r="I42" t="s">
        <v>145</v>
      </c>
      <c r="J42" s="2">
        <v>42845</v>
      </c>
      <c r="K42" t="s">
        <v>59</v>
      </c>
      <c r="L42" t="s">
        <v>51</v>
      </c>
      <c r="M42">
        <v>46567</v>
      </c>
      <c r="N42" t="s">
        <v>60</v>
      </c>
      <c r="O42">
        <v>2825</v>
      </c>
      <c r="P42" t="s">
        <v>31</v>
      </c>
      <c r="Q42">
        <v>15</v>
      </c>
      <c r="R42">
        <v>3</v>
      </c>
      <c r="S42" t="s">
        <v>44</v>
      </c>
      <c r="T42" t="s">
        <v>84</v>
      </c>
      <c r="U42" t="s">
        <v>54</v>
      </c>
    </row>
    <row r="43" spans="1:21" x14ac:dyDescent="0.25">
      <c r="A43">
        <v>4522</v>
      </c>
      <c r="B43" t="s">
        <v>146</v>
      </c>
      <c r="C43" t="s">
        <v>22</v>
      </c>
      <c r="D43">
        <v>36</v>
      </c>
      <c r="E43" t="s">
        <v>56</v>
      </c>
      <c r="F43" t="s">
        <v>24</v>
      </c>
      <c r="G43" t="s">
        <v>102</v>
      </c>
      <c r="H43" t="s">
        <v>26</v>
      </c>
      <c r="I43" t="s">
        <v>147</v>
      </c>
      <c r="J43" s="2">
        <v>43668</v>
      </c>
      <c r="K43" t="s">
        <v>59</v>
      </c>
      <c r="L43" t="s">
        <v>42</v>
      </c>
      <c r="M43">
        <v>39795</v>
      </c>
      <c r="N43" t="s">
        <v>60</v>
      </c>
      <c r="O43">
        <v>1670</v>
      </c>
      <c r="P43" t="s">
        <v>44</v>
      </c>
      <c r="Q43">
        <v>0</v>
      </c>
      <c r="R43">
        <v>2</v>
      </c>
      <c r="S43" t="s">
        <v>45</v>
      </c>
      <c r="T43" t="s">
        <v>69</v>
      </c>
      <c r="U43" t="s">
        <v>44</v>
      </c>
    </row>
    <row r="44" spans="1:21" x14ac:dyDescent="0.25">
      <c r="A44">
        <v>3078</v>
      </c>
      <c r="B44" t="s">
        <v>148</v>
      </c>
      <c r="C44" t="s">
        <v>22</v>
      </c>
      <c r="D44">
        <v>21</v>
      </c>
      <c r="E44" t="s">
        <v>23</v>
      </c>
      <c r="F44" t="s">
        <v>24</v>
      </c>
      <c r="G44" t="s">
        <v>25</v>
      </c>
      <c r="H44" t="s">
        <v>74</v>
      </c>
      <c r="I44" t="s">
        <v>149</v>
      </c>
      <c r="J44" s="2">
        <v>43433</v>
      </c>
      <c r="K44" t="s">
        <v>59</v>
      </c>
      <c r="L44" t="s">
        <v>51</v>
      </c>
      <c r="M44">
        <v>59506</v>
      </c>
      <c r="N44" t="s">
        <v>60</v>
      </c>
      <c r="O44">
        <v>4428</v>
      </c>
      <c r="P44" t="s">
        <v>61</v>
      </c>
      <c r="Q44">
        <v>0</v>
      </c>
      <c r="R44">
        <v>1</v>
      </c>
      <c r="S44" t="s">
        <v>44</v>
      </c>
      <c r="T44" t="s">
        <v>69</v>
      </c>
      <c r="U44" t="s">
        <v>34</v>
      </c>
    </row>
    <row r="45" spans="1:21" x14ac:dyDescent="0.25">
      <c r="A45">
        <v>6357</v>
      </c>
      <c r="B45" t="s">
        <v>150</v>
      </c>
      <c r="C45" t="s">
        <v>22</v>
      </c>
      <c r="D45">
        <v>46</v>
      </c>
      <c r="E45" t="s">
        <v>86</v>
      </c>
      <c r="F45" t="s">
        <v>47</v>
      </c>
      <c r="G45" t="s">
        <v>39</v>
      </c>
      <c r="H45" t="s">
        <v>74</v>
      </c>
      <c r="I45" t="s">
        <v>151</v>
      </c>
      <c r="J45" s="2">
        <v>44879</v>
      </c>
      <c r="K45" t="s">
        <v>59</v>
      </c>
      <c r="L45" t="s">
        <v>51</v>
      </c>
      <c r="M45">
        <v>49058</v>
      </c>
      <c r="N45" t="s">
        <v>43</v>
      </c>
      <c r="O45">
        <v>4396</v>
      </c>
      <c r="P45" t="s">
        <v>44</v>
      </c>
      <c r="Q45">
        <v>5</v>
      </c>
      <c r="R45">
        <v>1</v>
      </c>
      <c r="S45" t="s">
        <v>44</v>
      </c>
      <c r="T45" t="s">
        <v>69</v>
      </c>
      <c r="U45" t="s">
        <v>44</v>
      </c>
    </row>
    <row r="46" spans="1:21" x14ac:dyDescent="0.25">
      <c r="A46">
        <v>7951</v>
      </c>
      <c r="B46" t="s">
        <v>152</v>
      </c>
      <c r="C46" t="s">
        <v>22</v>
      </c>
      <c r="D46">
        <v>36</v>
      </c>
      <c r="E46" t="s">
        <v>56</v>
      </c>
      <c r="F46" t="s">
        <v>73</v>
      </c>
      <c r="G46" t="s">
        <v>48</v>
      </c>
      <c r="H46" t="s">
        <v>74</v>
      </c>
      <c r="I46" t="s">
        <v>153</v>
      </c>
      <c r="J46" s="2">
        <v>42423</v>
      </c>
      <c r="K46" t="s">
        <v>59</v>
      </c>
      <c r="L46" t="s">
        <v>29</v>
      </c>
      <c r="M46">
        <v>98612</v>
      </c>
      <c r="N46" t="s">
        <v>60</v>
      </c>
      <c r="O46">
        <v>1168</v>
      </c>
      <c r="P46" t="s">
        <v>44</v>
      </c>
      <c r="Q46">
        <v>9</v>
      </c>
      <c r="R46">
        <v>2</v>
      </c>
      <c r="S46" t="s">
        <v>45</v>
      </c>
      <c r="T46" t="s">
        <v>33</v>
      </c>
      <c r="U46" t="s">
        <v>34</v>
      </c>
    </row>
    <row r="47" spans="1:21" x14ac:dyDescent="0.25">
      <c r="A47">
        <v>9228</v>
      </c>
      <c r="B47" t="s">
        <v>154</v>
      </c>
      <c r="C47" t="s">
        <v>36</v>
      </c>
      <c r="D47">
        <v>41</v>
      </c>
      <c r="E47" t="s">
        <v>56</v>
      </c>
      <c r="F47" t="s">
        <v>89</v>
      </c>
      <c r="G47" t="s">
        <v>67</v>
      </c>
      <c r="H47" t="s">
        <v>40</v>
      </c>
      <c r="I47" t="s">
        <v>155</v>
      </c>
      <c r="J47" s="2">
        <v>43238</v>
      </c>
      <c r="K47" t="s">
        <v>95</v>
      </c>
      <c r="L47" t="s">
        <v>42</v>
      </c>
      <c r="M47">
        <v>38201</v>
      </c>
      <c r="N47" t="s">
        <v>60</v>
      </c>
      <c r="O47">
        <v>7111</v>
      </c>
      <c r="P47" t="s">
        <v>31</v>
      </c>
      <c r="Q47">
        <v>8</v>
      </c>
      <c r="R47">
        <v>4</v>
      </c>
      <c r="S47" t="s">
        <v>32</v>
      </c>
      <c r="T47" t="s">
        <v>69</v>
      </c>
      <c r="U47" t="s">
        <v>44</v>
      </c>
    </row>
    <row r="48" spans="1:21" x14ac:dyDescent="0.25">
      <c r="A48">
        <v>8988</v>
      </c>
      <c r="B48" t="s">
        <v>156</v>
      </c>
      <c r="C48" t="s">
        <v>36</v>
      </c>
      <c r="D48">
        <v>25</v>
      </c>
      <c r="E48" t="s">
        <v>23</v>
      </c>
      <c r="F48" t="s">
        <v>24</v>
      </c>
      <c r="G48" t="s">
        <v>48</v>
      </c>
      <c r="H48" t="s">
        <v>49</v>
      </c>
      <c r="I48" t="s">
        <v>157</v>
      </c>
      <c r="J48" s="2">
        <v>45360</v>
      </c>
      <c r="K48" t="s">
        <v>95</v>
      </c>
      <c r="L48" t="s">
        <v>42</v>
      </c>
      <c r="M48">
        <v>92919</v>
      </c>
      <c r="N48" t="s">
        <v>52</v>
      </c>
      <c r="O48">
        <v>9497</v>
      </c>
      <c r="P48" t="s">
        <v>31</v>
      </c>
      <c r="Q48">
        <v>7</v>
      </c>
      <c r="R48">
        <v>2</v>
      </c>
      <c r="S48" t="s">
        <v>44</v>
      </c>
      <c r="T48" t="s">
        <v>69</v>
      </c>
      <c r="U48" t="s">
        <v>54</v>
      </c>
    </row>
    <row r="49" spans="1:21" x14ac:dyDescent="0.25">
      <c r="A49">
        <v>1952</v>
      </c>
      <c r="B49" t="s">
        <v>158</v>
      </c>
      <c r="C49" t="s">
        <v>22</v>
      </c>
      <c r="D49">
        <v>29</v>
      </c>
      <c r="E49" t="s">
        <v>37</v>
      </c>
      <c r="F49" t="s">
        <v>89</v>
      </c>
      <c r="G49" t="s">
        <v>25</v>
      </c>
      <c r="H49" t="s">
        <v>40</v>
      </c>
      <c r="I49" t="s">
        <v>159</v>
      </c>
      <c r="J49" s="2">
        <v>45378</v>
      </c>
      <c r="K49" t="s">
        <v>28</v>
      </c>
      <c r="L49" t="s">
        <v>51</v>
      </c>
      <c r="M49">
        <v>45188</v>
      </c>
      <c r="N49" t="s">
        <v>60</v>
      </c>
      <c r="O49">
        <v>9591</v>
      </c>
      <c r="P49" t="s">
        <v>61</v>
      </c>
      <c r="Q49">
        <v>18</v>
      </c>
      <c r="R49">
        <v>3</v>
      </c>
      <c r="S49" t="s">
        <v>32</v>
      </c>
      <c r="T49" t="s">
        <v>69</v>
      </c>
      <c r="U49" t="s">
        <v>44</v>
      </c>
    </row>
    <row r="50" spans="1:21" x14ac:dyDescent="0.25">
      <c r="A50">
        <v>5760</v>
      </c>
      <c r="B50" t="s">
        <v>160</v>
      </c>
      <c r="C50" t="s">
        <v>22</v>
      </c>
      <c r="D50">
        <v>59</v>
      </c>
      <c r="E50" t="s">
        <v>64</v>
      </c>
      <c r="F50" t="s">
        <v>47</v>
      </c>
      <c r="G50" t="s">
        <v>39</v>
      </c>
      <c r="H50" t="s">
        <v>26</v>
      </c>
      <c r="I50" t="s">
        <v>161</v>
      </c>
      <c r="J50" s="2">
        <v>43822</v>
      </c>
      <c r="K50" t="s">
        <v>28</v>
      </c>
      <c r="L50" t="s">
        <v>42</v>
      </c>
      <c r="M50">
        <v>34927</v>
      </c>
      <c r="N50" t="s">
        <v>52</v>
      </c>
      <c r="O50">
        <v>6996</v>
      </c>
      <c r="P50" t="s">
        <v>61</v>
      </c>
      <c r="Q50">
        <v>16</v>
      </c>
      <c r="R50">
        <v>1</v>
      </c>
      <c r="S50" t="s">
        <v>45</v>
      </c>
      <c r="T50" t="s">
        <v>33</v>
      </c>
      <c r="U50" t="s">
        <v>34</v>
      </c>
    </row>
    <row r="51" spans="1:21" x14ac:dyDescent="0.25">
      <c r="A51">
        <v>5742</v>
      </c>
      <c r="B51" t="s">
        <v>162</v>
      </c>
      <c r="C51" t="s">
        <v>22</v>
      </c>
      <c r="D51">
        <v>27</v>
      </c>
      <c r="E51" t="s">
        <v>37</v>
      </c>
      <c r="F51" t="s">
        <v>24</v>
      </c>
      <c r="G51" t="s">
        <v>48</v>
      </c>
      <c r="H51" t="s">
        <v>57</v>
      </c>
      <c r="I51" t="s">
        <v>163</v>
      </c>
      <c r="J51" s="2">
        <v>42607</v>
      </c>
      <c r="K51" t="s">
        <v>28</v>
      </c>
      <c r="L51" t="s">
        <v>42</v>
      </c>
      <c r="M51">
        <v>33183</v>
      </c>
      <c r="N51" t="s">
        <v>60</v>
      </c>
      <c r="O51">
        <v>1659</v>
      </c>
      <c r="P51" t="s">
        <v>44</v>
      </c>
      <c r="Q51">
        <v>11</v>
      </c>
      <c r="R51">
        <v>1</v>
      </c>
      <c r="S51" t="s">
        <v>32</v>
      </c>
      <c r="T51" t="s">
        <v>62</v>
      </c>
      <c r="U51"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9301-DC99-4839-8B37-23B1DCB8ADF6}">
  <sheetPr>
    <tabColor theme="6"/>
  </sheetPr>
  <dimension ref="B3:M50"/>
  <sheetViews>
    <sheetView topLeftCell="A11" zoomScale="72" zoomScaleNormal="100" workbookViewId="0">
      <selection activeCell="AY16" sqref="AY16"/>
    </sheetView>
  </sheetViews>
  <sheetFormatPr defaultColWidth="20.5703125" defaultRowHeight="24" x14ac:dyDescent="0.4"/>
  <cols>
    <col min="1" max="1" width="20.5703125" style="4"/>
    <col min="2" max="2" width="21.140625" style="4" bestFit="1" customWidth="1"/>
    <col min="3" max="3" width="29.140625" style="4" bestFit="1" customWidth="1"/>
    <col min="4" max="4" width="9.140625" style="4" bestFit="1" customWidth="1"/>
    <col min="5" max="5" width="7.42578125" style="4" bestFit="1" customWidth="1"/>
    <col min="6" max="6" width="21.140625" style="4" bestFit="1" customWidth="1"/>
    <col min="7" max="7" width="29.140625" style="4" bestFit="1" customWidth="1"/>
    <col min="8" max="8" width="29.85546875" style="4" bestFit="1" customWidth="1"/>
    <col min="9" max="9" width="21.140625" style="4" bestFit="1" customWidth="1"/>
    <col min="10" max="10" width="46" style="4" bestFit="1" customWidth="1"/>
    <col min="11" max="11" width="26.5703125" style="4" bestFit="1" customWidth="1"/>
    <col min="12" max="12" width="8.42578125" style="4" bestFit="1" customWidth="1"/>
    <col min="13" max="13" width="18" style="4" bestFit="1" customWidth="1"/>
    <col min="14" max="16384" width="20.5703125" style="4"/>
  </cols>
  <sheetData>
    <row r="3" spans="2:13" ht="18.75" customHeight="1" x14ac:dyDescent="0.4">
      <c r="B3" s="24" t="s">
        <v>167</v>
      </c>
      <c r="C3" s="24"/>
      <c r="D3" s="3"/>
      <c r="E3" s="3"/>
      <c r="F3" s="23" t="s">
        <v>171</v>
      </c>
      <c r="G3" s="25"/>
      <c r="J3" s="23" t="s">
        <v>173</v>
      </c>
      <c r="K3" s="23"/>
      <c r="L3" s="23"/>
      <c r="M3" s="23"/>
    </row>
    <row r="4" spans="2:13" ht="18.75" customHeight="1" x14ac:dyDescent="0.4">
      <c r="B4" s="24"/>
      <c r="C4" s="24"/>
      <c r="D4" s="3"/>
      <c r="E4" s="3"/>
      <c r="F4" s="25"/>
      <c r="G4" s="25"/>
      <c r="J4" s="23"/>
      <c r="K4" s="23"/>
      <c r="L4" s="23"/>
      <c r="M4" s="23"/>
    </row>
    <row r="5" spans="2:13" x14ac:dyDescent="0.4">
      <c r="B5" s="5" t="s">
        <v>164</v>
      </c>
      <c r="C5" s="4" t="s">
        <v>166</v>
      </c>
      <c r="F5" s="5" t="s">
        <v>164</v>
      </c>
      <c r="G5" s="4" t="s">
        <v>169</v>
      </c>
      <c r="H5" s="4" t="s">
        <v>176</v>
      </c>
      <c r="J5" s="5" t="s">
        <v>166</v>
      </c>
      <c r="K5" s="5" t="s">
        <v>172</v>
      </c>
    </row>
    <row r="6" spans="2:13" x14ac:dyDescent="0.4">
      <c r="B6" s="6" t="s">
        <v>59</v>
      </c>
      <c r="C6" s="26">
        <v>17</v>
      </c>
      <c r="F6" s="6" t="s">
        <v>102</v>
      </c>
      <c r="G6" s="7">
        <v>167041</v>
      </c>
      <c r="H6" s="7">
        <v>28</v>
      </c>
      <c r="I6" s="7"/>
      <c r="J6" s="5" t="s">
        <v>164</v>
      </c>
      <c r="K6" s="4" t="s">
        <v>22</v>
      </c>
      <c r="L6" s="4" t="s">
        <v>36</v>
      </c>
      <c r="M6" s="4" t="s">
        <v>165</v>
      </c>
    </row>
    <row r="7" spans="2:13" x14ac:dyDescent="0.4">
      <c r="B7" s="6" t="s">
        <v>28</v>
      </c>
      <c r="C7" s="26">
        <v>20</v>
      </c>
      <c r="F7" s="6" t="s">
        <v>39</v>
      </c>
      <c r="G7" s="7">
        <v>613842</v>
      </c>
      <c r="H7" s="7">
        <v>110</v>
      </c>
      <c r="I7" s="7"/>
      <c r="J7" s="6" t="s">
        <v>23</v>
      </c>
      <c r="K7" s="26">
        <v>6</v>
      </c>
      <c r="L7" s="26">
        <v>3</v>
      </c>
      <c r="M7" s="26">
        <v>9</v>
      </c>
    </row>
    <row r="8" spans="2:13" x14ac:dyDescent="0.4">
      <c r="B8" s="6" t="s">
        <v>95</v>
      </c>
      <c r="C8" s="26">
        <v>13</v>
      </c>
      <c r="F8" s="6" t="s">
        <v>67</v>
      </c>
      <c r="G8" s="7">
        <v>633594</v>
      </c>
      <c r="H8" s="7">
        <v>104</v>
      </c>
      <c r="I8" s="7"/>
      <c r="J8" s="6" t="s">
        <v>37</v>
      </c>
      <c r="K8" s="26">
        <v>7</v>
      </c>
      <c r="L8" s="26">
        <v>6</v>
      </c>
      <c r="M8" s="26">
        <v>13</v>
      </c>
    </row>
    <row r="9" spans="2:13" x14ac:dyDescent="0.4">
      <c r="B9" s="6" t="s">
        <v>165</v>
      </c>
      <c r="C9" s="26">
        <v>50</v>
      </c>
      <c r="F9" s="6" t="s">
        <v>48</v>
      </c>
      <c r="G9" s="7">
        <v>959266</v>
      </c>
      <c r="H9" s="7">
        <v>123</v>
      </c>
      <c r="I9" s="7"/>
      <c r="J9" s="6" t="s">
        <v>56</v>
      </c>
      <c r="K9" s="26">
        <v>5</v>
      </c>
      <c r="L9" s="26">
        <v>7</v>
      </c>
      <c r="M9" s="26">
        <v>12</v>
      </c>
    </row>
    <row r="10" spans="2:13" x14ac:dyDescent="0.4">
      <c r="F10" s="6" t="s">
        <v>25</v>
      </c>
      <c r="G10" s="7">
        <v>731170</v>
      </c>
      <c r="H10" s="7">
        <v>122</v>
      </c>
      <c r="I10" s="7"/>
      <c r="J10" s="6" t="s">
        <v>86</v>
      </c>
      <c r="K10" s="26">
        <v>4</v>
      </c>
      <c r="L10" s="26">
        <v>3</v>
      </c>
      <c r="M10" s="26">
        <v>7</v>
      </c>
    </row>
    <row r="11" spans="2:13" x14ac:dyDescent="0.4">
      <c r="B11" s="8" t="s">
        <v>59</v>
      </c>
      <c r="C11" s="9">
        <f>IFERROR(GETPIVOTDATA("Full Name",$B$5,"Employment Status","Contract"),"0")</f>
        <v>17</v>
      </c>
      <c r="F11" s="6" t="s">
        <v>165</v>
      </c>
      <c r="G11" s="26">
        <v>3104913</v>
      </c>
      <c r="H11" s="26">
        <v>487</v>
      </c>
      <c r="J11" s="6" t="s">
        <v>64</v>
      </c>
      <c r="K11" s="26">
        <v>4</v>
      </c>
      <c r="L11" s="26">
        <v>5</v>
      </c>
      <c r="M11" s="26">
        <v>9</v>
      </c>
    </row>
    <row r="12" spans="2:13" x14ac:dyDescent="0.4">
      <c r="B12" s="8" t="s">
        <v>28</v>
      </c>
      <c r="C12" s="9">
        <f>IFERROR(GETPIVOTDATA("Full Name",$B$5,"Employment Status","Full-Time"),"0")</f>
        <v>20</v>
      </c>
      <c r="J12" s="6" t="s">
        <v>165</v>
      </c>
      <c r="K12" s="26">
        <v>26</v>
      </c>
      <c r="L12" s="26">
        <v>24</v>
      </c>
      <c r="M12" s="26">
        <v>50</v>
      </c>
    </row>
    <row r="13" spans="2:13" x14ac:dyDescent="0.4">
      <c r="B13" s="8" t="s">
        <v>95</v>
      </c>
      <c r="C13" s="9">
        <f>IFERROR(GETPIVOTDATA("Full Name",$B$5,"Employment Status","Part-Time"),"0")</f>
        <v>13</v>
      </c>
      <c r="F13" s="10" t="s">
        <v>102</v>
      </c>
      <c r="G13" s="11">
        <f>IFERROR(GETPIVOTDATA("Salary",$F$5,"Job Title","Analyst"),"0")</f>
        <v>167041</v>
      </c>
      <c r="H13" s="12">
        <f>IFERROR(GETPIVOTDATA("Sum of Leave Taken",$F$5,"Job Title","Analyst"),"0")</f>
        <v>28</v>
      </c>
    </row>
    <row r="14" spans="2:13" x14ac:dyDescent="0.4">
      <c r="B14" s="8" t="s">
        <v>168</v>
      </c>
      <c r="C14" s="9">
        <f>SUM(C11:C13)</f>
        <v>50</v>
      </c>
      <c r="F14" s="10" t="s">
        <v>39</v>
      </c>
      <c r="G14" s="11">
        <f>IFERROR(GETPIVOTDATA("Salary",$F$5,"Job Title","Designer"),"0")</f>
        <v>613842</v>
      </c>
      <c r="H14" s="12">
        <f>IFERROR(GETPIVOTDATA("Sum of Leave Taken",$F$5,"Job Title","Designer"),"0")</f>
        <v>110</v>
      </c>
      <c r="J14" s="10" t="s">
        <v>23</v>
      </c>
      <c r="K14" s="13">
        <f>IFERROR(GETPIVOTDATA("Full Name",$J$5,"Age range","18-25"),"0")</f>
        <v>9</v>
      </c>
    </row>
    <row r="15" spans="2:13" x14ac:dyDescent="0.4">
      <c r="F15" s="10" t="s">
        <v>67</v>
      </c>
      <c r="G15" s="11">
        <f>IFERROR(GETPIVOTDATA("Salary",$F$5,"Job Title","Developer"),"0")</f>
        <v>633594</v>
      </c>
      <c r="H15" s="12">
        <f>IFERROR(GETPIVOTDATA("Sum of Leave Taken",$F$5,"Job Title","Developer"),"0")</f>
        <v>104</v>
      </c>
      <c r="J15" s="10" t="s">
        <v>37</v>
      </c>
      <c r="K15" s="13">
        <f>IFERROR(GETPIVOTDATA("Full Name",$J$5,"Age range","26-35"),"0")</f>
        <v>13</v>
      </c>
    </row>
    <row r="16" spans="2:13" x14ac:dyDescent="0.4">
      <c r="F16" s="10" t="s">
        <v>48</v>
      </c>
      <c r="G16" s="11">
        <f>IFERROR(GETPIVOTDATA("Salary",$F$5,"Job Title","HR Specialist"),"0")</f>
        <v>959266</v>
      </c>
      <c r="H16" s="12">
        <f>IFERROR(GETPIVOTDATA("Sum of Leave Taken",$F$5,"Job Title","HR Specialist"),"0")</f>
        <v>123</v>
      </c>
      <c r="J16" s="10" t="s">
        <v>56</v>
      </c>
      <c r="K16" s="13">
        <f>IFERROR(GETPIVOTDATA("Full Name",$J$5,"Age range","36-45"),"0")</f>
        <v>12</v>
      </c>
    </row>
    <row r="17" spans="2:13" x14ac:dyDescent="0.4">
      <c r="B17" s="22" t="s">
        <v>175</v>
      </c>
      <c r="C17" s="22"/>
      <c r="F17" s="10" t="s">
        <v>25</v>
      </c>
      <c r="G17" s="11">
        <f>IFERROR(GETPIVOTDATA("Salary",$F$5,"Job Title","Manager"),"0")</f>
        <v>731170</v>
      </c>
      <c r="H17" s="12">
        <f>IFERROR(GETPIVOTDATA("Sum of Leave Taken",$F$5,"Job Title","Manager"),"0")</f>
        <v>122</v>
      </c>
      <c r="J17" s="10" t="s">
        <v>86</v>
      </c>
      <c r="K17" s="13">
        <f>IFERROR(GETPIVOTDATA("Full Name",$J$5,"Age range","46-55"),"0")</f>
        <v>7</v>
      </c>
    </row>
    <row r="18" spans="2:13" x14ac:dyDescent="0.4">
      <c r="B18" s="22"/>
      <c r="C18" s="22"/>
      <c r="F18" s="10" t="s">
        <v>170</v>
      </c>
      <c r="G18" s="11">
        <f>SUM(G13:G17)</f>
        <v>3104913</v>
      </c>
      <c r="H18" s="12">
        <f>SUM(H13:H17)</f>
        <v>487</v>
      </c>
      <c r="J18" s="10" t="s">
        <v>64</v>
      </c>
      <c r="K18" s="13">
        <f>IFERROR(GETPIVOTDATA("Full Name",$J$5,"Age range","56 &lt;"),"0")</f>
        <v>9</v>
      </c>
    </row>
    <row r="19" spans="2:13" x14ac:dyDescent="0.4">
      <c r="J19" s="10" t="s">
        <v>170</v>
      </c>
      <c r="K19" s="13">
        <f>SUM(K14:K18)</f>
        <v>50</v>
      </c>
    </row>
    <row r="20" spans="2:13" x14ac:dyDescent="0.4">
      <c r="B20" s="5" t="s">
        <v>164</v>
      </c>
      <c r="C20" s="4" t="s">
        <v>166</v>
      </c>
    </row>
    <row r="21" spans="2:13" x14ac:dyDescent="0.4">
      <c r="B21" s="6" t="s">
        <v>42</v>
      </c>
      <c r="C21" s="26">
        <v>23</v>
      </c>
      <c r="J21" s="10" t="s">
        <v>36</v>
      </c>
      <c r="K21" s="13">
        <f>IFERROR(GETPIVOTDATA("Full Name",$J$5,"Gender","Male"),"0")</f>
        <v>24</v>
      </c>
      <c r="L21" s="14">
        <f>K21/(K21+K22)</f>
        <v>0.48</v>
      </c>
      <c r="M21" s="14">
        <f>1-L21</f>
        <v>0.52</v>
      </c>
    </row>
    <row r="22" spans="2:13" x14ac:dyDescent="0.4">
      <c r="B22" s="6" t="s">
        <v>29</v>
      </c>
      <c r="C22" s="26">
        <v>8</v>
      </c>
      <c r="J22" s="10" t="s">
        <v>22</v>
      </c>
      <c r="K22" s="13">
        <f>IFERROR(GETPIVOTDATA("Full Name",$J$5,"Gender","Female"),"0")</f>
        <v>26</v>
      </c>
      <c r="L22" s="15">
        <f>1-L21</f>
        <v>0.52</v>
      </c>
      <c r="M22" s="15">
        <f>1-L22</f>
        <v>0.48</v>
      </c>
    </row>
    <row r="23" spans="2:13" x14ac:dyDescent="0.4">
      <c r="B23" s="6" t="s">
        <v>51</v>
      </c>
      <c r="C23" s="26">
        <v>19</v>
      </c>
      <c r="J23" s="10" t="s">
        <v>174</v>
      </c>
      <c r="K23" s="16">
        <f>SUM(K21:K22)</f>
        <v>50</v>
      </c>
      <c r="L23" s="17">
        <f>SUM(L21:L22)/SUM($L$21:$L$22)</f>
        <v>1</v>
      </c>
      <c r="M23" s="13"/>
    </row>
    <row r="24" spans="2:13" x14ac:dyDescent="0.4">
      <c r="B24" s="6" t="s">
        <v>165</v>
      </c>
      <c r="C24" s="26">
        <v>50</v>
      </c>
    </row>
    <row r="27" spans="2:13" x14ac:dyDescent="0.4">
      <c r="B27" s="10" t="s">
        <v>42</v>
      </c>
      <c r="C27" s="13">
        <f>IFERROR(GETPIVOTDATA("Full Name",$B$20,"Work Location","Branch Office"),"0")</f>
        <v>23</v>
      </c>
      <c r="D27" s="15">
        <f>IFERROR(GETPIVOTDATA("Full Name",$B$20,"Work Location","Branch Office"),"0")/$C$30</f>
        <v>0.46</v>
      </c>
      <c r="E27" s="15">
        <f>1-D27</f>
        <v>0.54</v>
      </c>
    </row>
    <row r="28" spans="2:13" x14ac:dyDescent="0.4">
      <c r="B28" s="10" t="s">
        <v>29</v>
      </c>
      <c r="C28" s="13">
        <f>IFERROR(GETPIVOTDATA("Full Name",$B$20,"Work Location","Head Office"),"0")</f>
        <v>8</v>
      </c>
      <c r="D28" s="15">
        <f>C28/$C$30</f>
        <v>0.16</v>
      </c>
      <c r="E28" s="15">
        <f t="shared" ref="E28:E29" si="0">1-D28</f>
        <v>0.84</v>
      </c>
    </row>
    <row r="29" spans="2:13" x14ac:dyDescent="0.4">
      <c r="B29" s="10" t="s">
        <v>51</v>
      </c>
      <c r="C29" s="13">
        <f>IFERROR(GETPIVOTDATA("Full Name",$B$20,"Work Location","Remote"),"0")</f>
        <v>19</v>
      </c>
      <c r="D29" s="15">
        <f>C29/$C$30</f>
        <v>0.38</v>
      </c>
      <c r="E29" s="15">
        <f t="shared" si="0"/>
        <v>0.62</v>
      </c>
      <c r="I29" s="21" t="s">
        <v>178</v>
      </c>
      <c r="J29" s="21"/>
    </row>
    <row r="30" spans="2:13" x14ac:dyDescent="0.4">
      <c r="B30" s="10" t="s">
        <v>168</v>
      </c>
      <c r="C30" s="16">
        <f>SUM(C27:C29)</f>
        <v>50</v>
      </c>
      <c r="D30" s="15">
        <f>SUM(D27:D29)</f>
        <v>1</v>
      </c>
      <c r="E30" s="15"/>
      <c r="I30" s="21"/>
      <c r="J30" s="21"/>
    </row>
    <row r="32" spans="2:13" x14ac:dyDescent="0.4">
      <c r="F32" s="21" t="s">
        <v>177</v>
      </c>
      <c r="G32" s="21"/>
      <c r="I32" s="5" t="s">
        <v>164</v>
      </c>
      <c r="J32" s="4" t="s">
        <v>179</v>
      </c>
    </row>
    <row r="33" spans="2:10" x14ac:dyDescent="0.4">
      <c r="B33" s="22" t="s">
        <v>19</v>
      </c>
      <c r="C33" s="22"/>
      <c r="F33" s="21"/>
      <c r="G33" s="21"/>
      <c r="I33" s="6" t="s">
        <v>26</v>
      </c>
      <c r="J33" s="18">
        <v>2.5833333333333335</v>
      </c>
    </row>
    <row r="34" spans="2:10" x14ac:dyDescent="0.4">
      <c r="B34" s="22"/>
      <c r="C34" s="22"/>
      <c r="F34" s="19"/>
      <c r="I34" s="6" t="s">
        <v>40</v>
      </c>
      <c r="J34" s="18">
        <v>3.3</v>
      </c>
    </row>
    <row r="35" spans="2:10" x14ac:dyDescent="0.4">
      <c r="B35" s="5" t="s">
        <v>164</v>
      </c>
      <c r="C35" s="4" t="s">
        <v>166</v>
      </c>
      <c r="F35" s="5" t="s">
        <v>164</v>
      </c>
      <c r="G35" s="4" t="s">
        <v>166</v>
      </c>
      <c r="I35" s="6" t="s">
        <v>74</v>
      </c>
      <c r="J35" s="18">
        <v>2.25</v>
      </c>
    </row>
    <row r="36" spans="2:10" x14ac:dyDescent="0.4">
      <c r="B36" s="6" t="s">
        <v>69</v>
      </c>
      <c r="C36" s="26">
        <v>12</v>
      </c>
      <c r="F36" s="6" t="s">
        <v>38</v>
      </c>
      <c r="G36" s="26">
        <v>14</v>
      </c>
      <c r="I36" s="6" t="s">
        <v>49</v>
      </c>
      <c r="J36" s="18">
        <v>2.3636363636363638</v>
      </c>
    </row>
    <row r="37" spans="2:10" x14ac:dyDescent="0.4">
      <c r="B37" s="6" t="s">
        <v>33</v>
      </c>
      <c r="C37" s="26">
        <v>11</v>
      </c>
      <c r="F37" s="6" t="s">
        <v>24</v>
      </c>
      <c r="G37" s="26">
        <v>10</v>
      </c>
      <c r="I37" s="6" t="s">
        <v>57</v>
      </c>
      <c r="J37" s="18">
        <v>2.5555555555555554</v>
      </c>
    </row>
    <row r="38" spans="2:10" x14ac:dyDescent="0.4">
      <c r="B38" s="6" t="s">
        <v>84</v>
      </c>
      <c r="C38" s="26">
        <v>7</v>
      </c>
      <c r="F38" s="6" t="s">
        <v>89</v>
      </c>
      <c r="G38" s="26">
        <v>7</v>
      </c>
      <c r="I38" s="6" t="s">
        <v>165</v>
      </c>
      <c r="J38" s="26">
        <v>2.62</v>
      </c>
    </row>
    <row r="39" spans="2:10" x14ac:dyDescent="0.4">
      <c r="B39" s="6" t="s">
        <v>53</v>
      </c>
      <c r="C39" s="26">
        <v>11</v>
      </c>
      <c r="F39" s="6" t="s">
        <v>73</v>
      </c>
      <c r="G39" s="26">
        <v>10</v>
      </c>
    </row>
    <row r="40" spans="2:10" x14ac:dyDescent="0.4">
      <c r="B40" s="6" t="s">
        <v>62</v>
      </c>
      <c r="C40" s="26">
        <v>9</v>
      </c>
      <c r="F40" s="6" t="s">
        <v>47</v>
      </c>
      <c r="G40" s="26">
        <v>9</v>
      </c>
    </row>
    <row r="41" spans="2:10" x14ac:dyDescent="0.4">
      <c r="B41" s="6" t="s">
        <v>165</v>
      </c>
      <c r="C41" s="26">
        <v>50</v>
      </c>
      <c r="F41" s="6" t="s">
        <v>165</v>
      </c>
      <c r="G41" s="26">
        <v>50</v>
      </c>
    </row>
    <row r="43" spans="2:10" x14ac:dyDescent="0.4">
      <c r="I43" s="10" t="s">
        <v>26</v>
      </c>
      <c r="J43" s="20">
        <f>IFERROR(GETPIVOTDATA("Performance Rating",$I$32,"Department","Finance"),"0")</f>
        <v>2.5833333333333335</v>
      </c>
    </row>
    <row r="44" spans="2:10" x14ac:dyDescent="0.4">
      <c r="F44" s="10" t="s">
        <v>38</v>
      </c>
      <c r="G44" s="13">
        <f>IFERROR(GETPIVOTDATA("Full Name",$F$35,"Region","Central"),"0")</f>
        <v>14</v>
      </c>
      <c r="I44" s="10" t="s">
        <v>40</v>
      </c>
      <c r="J44" s="20">
        <f>IFERROR(GETPIVOTDATA("Performance Rating",$I$32,"Department","HR"),"0")</f>
        <v>3.3</v>
      </c>
    </row>
    <row r="45" spans="2:10" x14ac:dyDescent="0.4">
      <c r="B45" s="10" t="s">
        <v>69</v>
      </c>
      <c r="C45" s="13">
        <f>IFERROR(GETPIVOTDATA("Full Name",$B$35,"Skills","Communication"),"0")</f>
        <v>12</v>
      </c>
      <c r="F45" s="10" t="s">
        <v>24</v>
      </c>
      <c r="G45" s="13">
        <f>IFERROR(GETPIVOTDATA("Full Name",$F$35,"Region","East"),"0")</f>
        <v>10</v>
      </c>
      <c r="I45" s="10" t="s">
        <v>74</v>
      </c>
      <c r="J45" s="20">
        <f>IFERROR(GETPIVOTDATA("Performance Rating",$I$32,"Department","IT"),"0")</f>
        <v>2.25</v>
      </c>
    </row>
    <row r="46" spans="2:10" x14ac:dyDescent="0.4">
      <c r="B46" s="10" t="s">
        <v>33</v>
      </c>
      <c r="C46" s="13">
        <f>IFERROR(GETPIVOTDATA("Full Name",$B$35,"Skills","Design"),"0")</f>
        <v>11</v>
      </c>
      <c r="F46" s="10" t="s">
        <v>89</v>
      </c>
      <c r="G46" s="13">
        <f>IFERROR(GETPIVOTDATA("Full Name",$F$35,"Region","North"),"0")</f>
        <v>7</v>
      </c>
      <c r="I46" s="10" t="s">
        <v>49</v>
      </c>
      <c r="J46" s="20">
        <f>IFERROR(GETPIVOTDATA("Performance Rating",$I$32,"Department","Marketing"),"0")</f>
        <v>2.3636363636363638</v>
      </c>
    </row>
    <row r="47" spans="2:10" x14ac:dyDescent="0.4">
      <c r="B47" s="10" t="s">
        <v>84</v>
      </c>
      <c r="C47" s="13">
        <f>IFERROR(GETPIVOTDATA("Full Name",$B$35,"Skills","Excel"),"0")</f>
        <v>7</v>
      </c>
      <c r="F47" s="10" t="s">
        <v>73</v>
      </c>
      <c r="G47" s="13">
        <f>IFERROR(GETPIVOTDATA("Full Name",$F$35,"Region","South"),"0")</f>
        <v>10</v>
      </c>
      <c r="I47" s="10" t="s">
        <v>57</v>
      </c>
      <c r="J47" s="20">
        <f>IFERROR(GETPIVOTDATA("Performance Rating",$I$32,"Department","Operations"),"0")</f>
        <v>2.5555555555555554</v>
      </c>
    </row>
    <row r="48" spans="2:10" x14ac:dyDescent="0.4">
      <c r="B48" s="10" t="s">
        <v>53</v>
      </c>
      <c r="C48" s="13">
        <f>IFERROR(GETPIVOTDATA("Full Name",$B$35,"Skills","Management"),"0")</f>
        <v>11</v>
      </c>
      <c r="F48" s="10" t="s">
        <v>47</v>
      </c>
      <c r="G48" s="13">
        <f>IFERROR(GETPIVOTDATA("Full Name",$F$35,"Region","West"),"0")</f>
        <v>9</v>
      </c>
      <c r="I48" s="10" t="s">
        <v>170</v>
      </c>
      <c r="J48" s="20">
        <f>AVERAGE(J43:J47)</f>
        <v>2.6105050505050502</v>
      </c>
    </row>
    <row r="49" spans="2:7" x14ac:dyDescent="0.4">
      <c r="B49" s="10" t="s">
        <v>62</v>
      </c>
      <c r="C49" s="13">
        <f>IFERROR(GETPIVOTDATA("Full Name",$B$35,"Skills","Python"),"0")</f>
        <v>9</v>
      </c>
      <c r="F49" s="10" t="s">
        <v>170</v>
      </c>
      <c r="G49" s="13">
        <f>SUM(G44:G48)</f>
        <v>50</v>
      </c>
    </row>
    <row r="50" spans="2:7" x14ac:dyDescent="0.4">
      <c r="B50" s="10" t="s">
        <v>170</v>
      </c>
      <c r="C50" s="13">
        <f>SUM(C45:C49)</f>
        <v>50</v>
      </c>
    </row>
  </sheetData>
  <mergeCells count="8">
    <mergeCell ref="F32:G33"/>
    <mergeCell ref="I29:J30"/>
    <mergeCell ref="B33:C34"/>
    <mergeCell ref="J3:M3"/>
    <mergeCell ref="J4:M4"/>
    <mergeCell ref="B3:C4"/>
    <mergeCell ref="F3:G4"/>
    <mergeCell ref="B17:C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C703B7-5B73-45DF-BEF6-32C1A759B1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DataBase</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adel</dc:creator>
  <cp:lastModifiedBy>omar adel</cp:lastModifiedBy>
  <dcterms:created xsi:type="dcterms:W3CDTF">2025-12-09T16:07:06Z</dcterms:created>
  <dcterms:modified xsi:type="dcterms:W3CDTF">2026-01-23T08:34:29Z</dcterms:modified>
</cp:coreProperties>
</file>